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s" sheetId="1" state="visible" r:id="rId1"/>
    <sheet name="Revenue" sheetId="2" state="visible" r:id="rId2"/>
    <sheet name="Depreciation" sheetId="3" state="visible" r:id="rId3"/>
    <sheet name="Valuation" sheetId="4" state="visible" r:id="rId4"/>
    <sheet name="Variant" sheetId="5" state="visible" r:id="rId5"/>
    <sheet name="Decision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,,,"/>
    <numFmt numFmtId="166" formatCode="#,##0,,"/>
    <numFmt numFmtId="167" formatCode="$#,##0.00"/>
    <numFmt numFmtId="168" formatCode="0.0&quot;x&quot;"/>
    <numFmt numFmtId="169" formatCode="0.0000"/>
  </numFmts>
  <fonts count="7">
    <font>
      <name val="Calibri"/>
      <family val="2"/>
      <color theme="1"/>
      <sz val="11"/>
      <scheme val="minor"/>
    </font>
    <font>
      <b val="1"/>
      <color rgb="001F3352"/>
      <sz val="13"/>
    </font>
    <font>
      <i val="1"/>
      <color rgb="00666666"/>
      <sz val="9"/>
    </font>
    <font>
      <b val="1"/>
      <color rgb="00FFFFFF"/>
      <sz val="11"/>
    </font>
    <font>
      <b val="1"/>
      <sz val="10"/>
    </font>
    <font>
      <sz val="10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352"/>
      </patternFill>
    </fill>
    <fill>
      <patternFill patternType="solid">
        <fgColor rgb="00DCE9F7"/>
      </patternFill>
    </fill>
    <fill>
      <patternFill patternType="solid">
        <fgColor rgb="00F4F2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10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165" fontId="0" fillId="4" borderId="0" pivotButton="0" quotePrefix="0" xfId="0"/>
    <xf numFmtId="168" fontId="0" fillId="0" borderId="0" pivotButton="0" quotePrefix="0" xfId="0"/>
    <xf numFmtId="0" fontId="5" fillId="0" borderId="0" pivotButton="0" quotePrefix="0" xfId="0"/>
    <xf numFmtId="169" fontId="0" fillId="0" borderId="0" pivotButton="0" quotePrefix="0" xfId="0"/>
    <xf numFmtId="167" fontId="6" fillId="4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6" fillId="0" borderId="0" pivotButton="0" quotePrefix="0" xfId="0"/>
    <xf numFmtId="2" fontId="0" fillId="0" borderId="0" pivotButton="0" quotePrefix="0" xfId="0"/>
    <xf numFmtId="164" fontId="6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6" customWidth="1" min="8" max="8"/>
  </cols>
  <sheetData>
    <row r="1">
      <c r="A1" s="1" t="inlineStr">
        <is>
          <t>Alphabet Inc. (GOOGL) — driver inputs</t>
        </is>
      </c>
    </row>
    <row r="2">
      <c r="A2" s="2" t="inlineStr">
        <is>
          <t>Blue cells are inputs. Everything else in this workbook is a formula. Change a blue cell and the value per share on 'Valuation' moves.</t>
        </is>
      </c>
    </row>
    <row r="4">
      <c r="A4" s="3" t="inlineStr">
        <is>
          <t>Driver</t>
        </is>
      </c>
      <c r="B4" s="4" t="inlineStr">
        <is>
          <t>2026E</t>
        </is>
      </c>
      <c r="C4" s="4" t="inlineStr">
        <is>
          <t>2027E</t>
        </is>
      </c>
      <c r="D4" s="4" t="inlineStr">
        <is>
          <t>2028E</t>
        </is>
      </c>
      <c r="E4" s="4" t="inlineStr">
        <is>
          <t>2029E</t>
        </is>
      </c>
      <c r="F4" s="4" t="inlineStr">
        <is>
          <t>2030E</t>
        </is>
      </c>
      <c r="G4" s="4" t="inlineStr">
        <is>
          <t>2031E</t>
        </is>
      </c>
      <c r="H4" s="4" t="inlineStr">
        <is>
          <t>Note</t>
        </is>
      </c>
    </row>
    <row r="5">
      <c r="A5" s="5" t="inlineStr">
        <is>
          <t>Google Search &amp; other</t>
        </is>
      </c>
    </row>
    <row r="6">
      <c r="A6" t="inlineStr">
        <is>
          <t xml:space="preserve">   queries</t>
        </is>
      </c>
      <c r="B6" s="6" t="n">
        <v>0.065</v>
      </c>
      <c r="C6" s="6" t="n">
        <v>0.055</v>
      </c>
      <c r="D6" s="6" t="n">
        <v>0.05</v>
      </c>
      <c r="E6" s="6" t="n">
        <v>0.045</v>
      </c>
      <c r="F6" s="6" t="n">
        <v>0.04</v>
      </c>
      <c r="G6" s="6" t="n">
        <v>0.035</v>
      </c>
    </row>
    <row r="7">
      <c r="A7" t="inlineStr">
        <is>
          <t xml:space="preserve">   ad coverage</t>
        </is>
      </c>
      <c r="B7" s="6" t="n">
        <v>-0.01</v>
      </c>
      <c r="C7" s="6" t="n">
        <v>-0.015</v>
      </c>
      <c r="D7" s="6" t="n">
        <v>-0.015</v>
      </c>
      <c r="E7" s="6" t="n">
        <v>-0.01</v>
      </c>
      <c r="F7" s="6" t="n">
        <v>-0.005</v>
      </c>
      <c r="G7" s="6" t="n">
        <v>0</v>
      </c>
    </row>
    <row r="8">
      <c r="A8" t="inlineStr">
        <is>
          <t xml:space="preserve">   price per click</t>
        </is>
      </c>
      <c r="B8" s="6" t="n">
        <v>0.13</v>
      </c>
      <c r="C8" s="6" t="n">
        <v>0.08</v>
      </c>
      <c r="D8" s="6" t="n">
        <v>0.062</v>
      </c>
      <c r="E8" s="6" t="n">
        <v>0.05</v>
      </c>
      <c r="F8" s="6" t="n">
        <v>0.045</v>
      </c>
      <c r="G8" s="6" t="n">
        <v>0.04</v>
      </c>
    </row>
    <row r="9">
      <c r="A9" s="5" t="inlineStr">
        <is>
          <t>YouTube ads</t>
        </is>
      </c>
    </row>
    <row r="10">
      <c r="A10" t="inlineStr">
        <is>
          <t xml:space="preserve">   watch hours</t>
        </is>
      </c>
      <c r="B10" s="6" t="n">
        <v>0.05</v>
      </c>
      <c r="C10" s="6" t="n">
        <v>0.045</v>
      </c>
      <c r="D10" s="6" t="n">
        <v>0.04</v>
      </c>
      <c r="E10" s="6" t="n">
        <v>0.035</v>
      </c>
      <c r="F10" s="6" t="n">
        <v>0.03</v>
      </c>
      <c r="G10" s="6" t="n">
        <v>0.03</v>
      </c>
    </row>
    <row r="11">
      <c r="A11" t="inlineStr">
        <is>
          <t xml:space="preserve">   ad load</t>
        </is>
      </c>
      <c r="B11" s="6" t="n">
        <v>0.02</v>
      </c>
      <c r="C11" s="6" t="n">
        <v>0.015</v>
      </c>
      <c r="D11" s="6" t="n">
        <v>0.01</v>
      </c>
      <c r="E11" s="6" t="n">
        <v>0.005</v>
      </c>
      <c r="F11" s="6" t="n">
        <v>0</v>
      </c>
      <c r="G11" s="6" t="n">
        <v>0</v>
      </c>
    </row>
    <row r="12">
      <c r="A12" t="inlineStr">
        <is>
          <t xml:space="preserve">   cpm</t>
        </is>
      </c>
      <c r="B12" s="6" t="n">
        <v>0.075</v>
      </c>
      <c r="C12" s="6" t="n">
        <v>0.05</v>
      </c>
      <c r="D12" s="6" t="n">
        <v>0.04</v>
      </c>
      <c r="E12" s="6" t="n">
        <v>0.035</v>
      </c>
      <c r="F12" s="6" t="n">
        <v>0.03</v>
      </c>
      <c r="G12" s="6" t="n">
        <v>0.025</v>
      </c>
    </row>
    <row r="13">
      <c r="A13" s="5" t="inlineStr">
        <is>
          <t>Google Network</t>
        </is>
      </c>
    </row>
    <row r="14">
      <c r="A14" t="inlineStr">
        <is>
          <t xml:space="preserve">   runoff</t>
        </is>
      </c>
      <c r="B14" s="6" t="n">
        <v>-0.03</v>
      </c>
      <c r="C14" s="6" t="n">
        <v>-0.04</v>
      </c>
      <c r="D14" s="6" t="n">
        <v>-0.04</v>
      </c>
      <c r="E14" s="6" t="n">
        <v>-0.05</v>
      </c>
      <c r="F14" s="6" t="n">
        <v>-0.05</v>
      </c>
      <c r="G14" s="6" t="n">
        <v>-0.05</v>
      </c>
    </row>
    <row r="15">
      <c r="A15" s="5" t="inlineStr">
        <is>
          <t>Subscriptions, platforms &amp; devices</t>
        </is>
      </c>
    </row>
    <row r="16">
      <c r="A16" t="inlineStr">
        <is>
          <t xml:space="preserve">   subscribers</t>
        </is>
      </c>
      <c r="B16" s="6" t="n">
        <v>0.14</v>
      </c>
      <c r="C16" s="6" t="n">
        <v>0.12</v>
      </c>
      <c r="D16" s="6" t="n">
        <v>0.1</v>
      </c>
      <c r="E16" s="6" t="n">
        <v>0.09</v>
      </c>
      <c r="F16" s="6" t="n">
        <v>0.08</v>
      </c>
      <c r="G16" s="6" t="n">
        <v>0.07000000000000001</v>
      </c>
    </row>
    <row r="17">
      <c r="A17" t="inlineStr">
        <is>
          <t xml:space="preserve">   arpu</t>
        </is>
      </c>
      <c r="B17" s="6" t="n">
        <v>0.03</v>
      </c>
      <c r="C17" s="6" t="n">
        <v>0.03</v>
      </c>
      <c r="D17" s="6" t="n">
        <v>0.025</v>
      </c>
      <c r="E17" s="6" t="n">
        <v>0.025</v>
      </c>
      <c r="F17" s="6" t="n">
        <v>0.02</v>
      </c>
      <c r="G17" s="6" t="n">
        <v>0.02</v>
      </c>
    </row>
    <row r="18">
      <c r="A18" s="5" t="inlineStr">
        <is>
          <t>Google Cloud</t>
        </is>
      </c>
    </row>
    <row r="19">
      <c r="A19" t="inlineStr">
        <is>
          <t xml:space="preserve">   capacity</t>
        </is>
      </c>
      <c r="B19" s="6" t="n">
        <v>0.55</v>
      </c>
      <c r="C19" s="6" t="n">
        <v>0.34</v>
      </c>
      <c r="D19" s="6" t="n">
        <v>0.28</v>
      </c>
      <c r="E19" s="6" t="n">
        <v>0.23</v>
      </c>
      <c r="F19" s="6" t="n">
        <v>0.19</v>
      </c>
      <c r="G19" s="6" t="n">
        <v>0.15</v>
      </c>
    </row>
    <row r="20">
      <c r="A20" s="5" t="inlineStr">
        <is>
          <t>Other Bets</t>
        </is>
      </c>
    </row>
    <row r="21">
      <c r="A21" t="inlineStr">
        <is>
          <t xml:space="preserve">   growth</t>
        </is>
      </c>
      <c r="B21" s="6" t="n">
        <v>0.1</v>
      </c>
      <c r="C21" s="6" t="n">
        <v>0.15</v>
      </c>
      <c r="D21" s="6" t="n">
        <v>0.2</v>
      </c>
      <c r="E21" s="6" t="n">
        <v>0.2</v>
      </c>
      <c r="F21" s="6" t="n">
        <v>0.2</v>
      </c>
      <c r="G21" s="6" t="n">
        <v>0.2</v>
      </c>
    </row>
    <row r="23">
      <c r="A23" s="5" t="inlineStr">
        <is>
          <t>EBITDA margin (cash margin, pre-D&amp;A)</t>
        </is>
      </c>
      <c r="B23" s="6" t="n">
        <v>0.385</v>
      </c>
      <c r="C23" s="6" t="n">
        <v>0.392</v>
      </c>
      <c r="D23" s="6" t="n">
        <v>0.398</v>
      </c>
      <c r="E23" s="6" t="n">
        <v>0.402</v>
      </c>
      <c r="F23" s="6" t="n">
        <v>0.405</v>
      </c>
      <c r="G23" s="6" t="n">
        <v>0.407</v>
      </c>
      <c r="H23" s="2" t="inlineStr">
        <is>
          <t>We forecast this and DERIVE EBIT by subtracting depreciation.</t>
        </is>
      </c>
    </row>
    <row r="24">
      <c r="A24" s="5" t="inlineStr">
        <is>
          <t>Capex % of revenue</t>
        </is>
      </c>
      <c r="B24" s="6" t="n">
        <v>0.295</v>
      </c>
      <c r="C24" s="6" t="n">
        <v>0.27</v>
      </c>
      <c r="D24" s="6" t="n">
        <v>0.24</v>
      </c>
      <c r="E24" s="6" t="n">
        <v>0.21</v>
      </c>
      <c r="F24" s="6" t="n">
        <v>0.185</v>
      </c>
      <c r="G24" s="6" t="n">
        <v>0.17</v>
      </c>
      <c r="H24" s="2" t="inlineStr">
        <is>
          <t>Drives the depreciation schedule.</t>
        </is>
      </c>
    </row>
    <row r="25">
      <c r="A25" s="5" t="inlineStr">
        <is>
          <t>Tax rate</t>
        </is>
      </c>
      <c r="B25" s="6" t="n">
        <v>0.185</v>
      </c>
      <c r="C25" s="6" t="n">
        <v>0.19</v>
      </c>
      <c r="D25" s="6" t="n">
        <v>0.19</v>
      </c>
      <c r="E25" s="6" t="n">
        <v>0.19</v>
      </c>
      <c r="F25" s="6" t="n">
        <v>0.19</v>
      </c>
      <c r="G25" s="6" t="n">
        <v>0.19</v>
      </c>
      <c r="H25" s="2" t="inlineStr"/>
    </row>
    <row r="26">
      <c r="A26" s="5" t="inlineStr">
        <is>
          <t>Net working capital % of revenue</t>
        </is>
      </c>
      <c r="B26" s="6" t="n">
        <v>0.02</v>
      </c>
      <c r="C26" s="6" t="n">
        <v>0.02</v>
      </c>
      <c r="D26" s="6" t="n">
        <v>0.02</v>
      </c>
      <c r="E26" s="6" t="n">
        <v>0.02</v>
      </c>
      <c r="F26" s="6" t="n">
        <v>0.02</v>
      </c>
      <c r="G26" s="6" t="n">
        <v>0.02</v>
      </c>
      <c r="H26" s="2" t="inlineStr"/>
    </row>
    <row r="28">
      <c r="A28" s="5" t="inlineStr">
        <is>
          <t>Base year revenue by segment ($)</t>
        </is>
      </c>
    </row>
    <row r="29">
      <c r="A29" t="inlineStr">
        <is>
          <t xml:space="preserve">   Google Search &amp; other</t>
        </is>
      </c>
      <c r="B29" s="7" t="n">
        <v>224532000000</v>
      </c>
    </row>
    <row r="30">
      <c r="A30" t="inlineStr">
        <is>
          <t xml:space="preserve">   YouTube ads</t>
        </is>
      </c>
      <c r="B30" s="7" t="n">
        <v>40367000000</v>
      </c>
    </row>
    <row r="31">
      <c r="A31" t="inlineStr">
        <is>
          <t xml:space="preserve">   Google Network</t>
        </is>
      </c>
      <c r="B31" s="7" t="n">
        <v>29792000000</v>
      </c>
    </row>
    <row r="32">
      <c r="A32" t="inlineStr">
        <is>
          <t xml:space="preserve">   Subscriptions, platforms &amp; devices</t>
        </is>
      </c>
      <c r="B32" s="7" t="n">
        <v>48030000000</v>
      </c>
    </row>
    <row r="33">
      <c r="A33" t="inlineStr">
        <is>
          <t xml:space="preserve">   Google Cloud</t>
        </is>
      </c>
      <c r="B33" s="7" t="n">
        <v>58705000000</v>
      </c>
    </row>
    <row r="34">
      <c r="A34" t="inlineStr">
        <is>
          <t xml:space="preserve">   Other Bets</t>
        </is>
      </c>
      <c r="B34" s="7" t="n">
        <v>1537000000</v>
      </c>
    </row>
    <row r="36">
      <c r="A36" s="5" t="inlineStr">
        <is>
          <t>WACC</t>
        </is>
      </c>
      <c r="B36" s="8" t="n">
        <v>0.08749999999999999</v>
      </c>
      <c r="H36" s="2" t="inlineStr">
        <is>
          <t>Single definition. Every sheet references this cell — there is no override.</t>
        </is>
      </c>
    </row>
    <row r="37">
      <c r="A37" s="5" t="inlineStr">
        <is>
          <t>Terminal growth</t>
        </is>
      </c>
      <c r="B37" s="8" t="n">
        <v>0.03</v>
      </c>
    </row>
    <row r="38">
      <c r="A38" s="5" t="inlineStr">
        <is>
          <t>Diluted shares</t>
        </is>
      </c>
      <c r="B38" s="9" t="n">
        <v>12309000000</v>
      </c>
    </row>
    <row r="39">
      <c r="A39" s="5" t="inlineStr">
        <is>
          <t>Cash &amp; marketable securities</t>
        </is>
      </c>
      <c r="B39" s="7" t="n">
        <v>242474000000</v>
      </c>
    </row>
    <row r="40">
      <c r="A40" s="5" t="inlineStr">
        <is>
          <t>Equity investments (stakes)</t>
        </is>
      </c>
      <c r="B40" s="7" t="n">
        <v>124259000000</v>
      </c>
    </row>
    <row r="41">
      <c r="A41" s="5" t="inlineStr">
        <is>
          <t>Debt</t>
        </is>
      </c>
      <c r="B41" s="7" t="n">
        <v>100164000000</v>
      </c>
    </row>
    <row r="42">
      <c r="A42" s="5" t="inlineStr">
        <is>
          <t>Operating leases</t>
        </is>
      </c>
      <c r="B42" s="7" t="n">
        <v>18037000000</v>
      </c>
    </row>
    <row r="43">
      <c r="A43" s="5" t="inlineStr">
        <is>
          <t>Spot price</t>
        </is>
      </c>
      <c r="B43" s="10" t="n">
        <v>377.65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Segment revenue build — each line is the product of its drivers</t>
        </is>
      </c>
    </row>
    <row r="3">
      <c r="A3" s="3" t="inlineStr">
        <is>
          <t>Segment</t>
        </is>
      </c>
      <c r="B3" s="4" t="inlineStr">
        <is>
          <t>2026E</t>
        </is>
      </c>
      <c r="C3" s="4" t="inlineStr">
        <is>
          <t>2027E</t>
        </is>
      </c>
      <c r="D3" s="4" t="inlineStr">
        <is>
          <t>2028E</t>
        </is>
      </c>
      <c r="E3" s="4" t="inlineStr">
        <is>
          <t>2029E</t>
        </is>
      </c>
      <c r="F3" s="4" t="inlineStr">
        <is>
          <t>2030E</t>
        </is>
      </c>
      <c r="G3" s="4" t="inlineStr">
        <is>
          <t>2031E</t>
        </is>
      </c>
    </row>
    <row r="4">
      <c r="A4" t="inlineStr">
        <is>
          <t>Google Search &amp; other</t>
        </is>
      </c>
      <c r="B4" s="11">
        <f>Drivers!$B$29*(1+Drivers!B$6)*(1+Drivers!B$7)*(1+Drivers!B$8)</f>
        <v/>
      </c>
      <c r="C4" s="11">
        <f>B4*(1+Drivers!C$6)*(1+Drivers!C$7)*(1+Drivers!C$8)</f>
        <v/>
      </c>
      <c r="D4" s="11">
        <f>C4*(1+Drivers!D$6)*(1+Drivers!D$7)*(1+Drivers!D$8)</f>
        <v/>
      </c>
      <c r="E4" s="11">
        <f>D4*(1+Drivers!E$6)*(1+Drivers!E$7)*(1+Drivers!E$8)</f>
        <v/>
      </c>
      <c r="F4" s="11">
        <f>E4*(1+Drivers!F$6)*(1+Drivers!F$7)*(1+Drivers!F$8)</f>
        <v/>
      </c>
      <c r="G4" s="11">
        <f>F4*(1+Drivers!G$6)*(1+Drivers!G$7)*(1+Drivers!G$8)</f>
        <v/>
      </c>
    </row>
    <row r="5">
      <c r="A5" t="inlineStr">
        <is>
          <t>YouTube ads</t>
        </is>
      </c>
      <c r="B5" s="11">
        <f>Drivers!$B$30*(1+Drivers!B$10)*(1+Drivers!B$11)*(1+Drivers!B$12)</f>
        <v/>
      </c>
      <c r="C5" s="11">
        <f>B5*(1+Drivers!C$10)*(1+Drivers!C$11)*(1+Drivers!C$12)</f>
        <v/>
      </c>
      <c r="D5" s="11">
        <f>C5*(1+Drivers!D$10)*(1+Drivers!D$11)*(1+Drivers!D$12)</f>
        <v/>
      </c>
      <c r="E5" s="11">
        <f>D5*(1+Drivers!E$10)*(1+Drivers!E$11)*(1+Drivers!E$12)</f>
        <v/>
      </c>
      <c r="F5" s="11">
        <f>E5*(1+Drivers!F$10)*(1+Drivers!F$11)*(1+Drivers!F$12)</f>
        <v/>
      </c>
      <c r="G5" s="11">
        <f>F5*(1+Drivers!G$10)*(1+Drivers!G$11)*(1+Drivers!G$12)</f>
        <v/>
      </c>
    </row>
    <row r="6">
      <c r="A6" t="inlineStr">
        <is>
          <t>Google Network</t>
        </is>
      </c>
      <c r="B6" s="11">
        <f>Drivers!$B$31*(1+Drivers!B$14)</f>
        <v/>
      </c>
      <c r="C6" s="11">
        <f>B6*(1+Drivers!C$14)</f>
        <v/>
      </c>
      <c r="D6" s="11">
        <f>C6*(1+Drivers!D$14)</f>
        <v/>
      </c>
      <c r="E6" s="11">
        <f>D6*(1+Drivers!E$14)</f>
        <v/>
      </c>
      <c r="F6" s="11">
        <f>E6*(1+Drivers!F$14)</f>
        <v/>
      </c>
      <c r="G6" s="11">
        <f>F6*(1+Drivers!G$14)</f>
        <v/>
      </c>
    </row>
    <row r="7">
      <c r="A7" t="inlineStr">
        <is>
          <t>Subscriptions, platforms &amp; devices</t>
        </is>
      </c>
      <c r="B7" s="11">
        <f>Drivers!$B$32*(1+Drivers!B$16)*(1+Drivers!B$17)</f>
        <v/>
      </c>
      <c r="C7" s="11">
        <f>B7*(1+Drivers!C$16)*(1+Drivers!C$17)</f>
        <v/>
      </c>
      <c r="D7" s="11">
        <f>C7*(1+Drivers!D$16)*(1+Drivers!D$17)</f>
        <v/>
      </c>
      <c r="E7" s="11">
        <f>D7*(1+Drivers!E$16)*(1+Drivers!E$17)</f>
        <v/>
      </c>
      <c r="F7" s="11">
        <f>E7*(1+Drivers!F$16)*(1+Drivers!F$17)</f>
        <v/>
      </c>
      <c r="G7" s="11">
        <f>F7*(1+Drivers!G$16)*(1+Drivers!G$17)</f>
        <v/>
      </c>
    </row>
    <row r="8">
      <c r="A8" t="inlineStr">
        <is>
          <t>Google Cloud</t>
        </is>
      </c>
      <c r="B8" s="11">
        <f>Drivers!$B$33*(1+Drivers!B$19)</f>
        <v/>
      </c>
      <c r="C8" s="11">
        <f>B8*(1+Drivers!C$19)</f>
        <v/>
      </c>
      <c r="D8" s="11">
        <f>C8*(1+Drivers!D$19)</f>
        <v/>
      </c>
      <c r="E8" s="11">
        <f>D8*(1+Drivers!E$19)</f>
        <v/>
      </c>
      <c r="F8" s="11">
        <f>E8*(1+Drivers!F$19)</f>
        <v/>
      </c>
      <c r="G8" s="11">
        <f>F8*(1+Drivers!G$19)</f>
        <v/>
      </c>
    </row>
    <row r="9">
      <c r="A9" t="inlineStr">
        <is>
          <t>Other Bets</t>
        </is>
      </c>
      <c r="B9" s="11">
        <f>Drivers!$B$34*(1+Drivers!B$21)</f>
        <v/>
      </c>
      <c r="C9" s="11">
        <f>B9*(1+Drivers!C$21)</f>
        <v/>
      </c>
      <c r="D9" s="11">
        <f>C9*(1+Drivers!D$21)</f>
        <v/>
      </c>
      <c r="E9" s="11">
        <f>D9*(1+Drivers!E$21)</f>
        <v/>
      </c>
      <c r="F9" s="11">
        <f>E9*(1+Drivers!F$21)</f>
        <v/>
      </c>
      <c r="G9" s="11">
        <f>F9*(1+Drivers!G$21)</f>
        <v/>
      </c>
    </row>
    <row r="10">
      <c r="A10" s="5" t="inlineStr">
        <is>
          <t>Total revenue</t>
        </is>
      </c>
      <c r="B10" s="12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2">
        <f>SUM(F4:F9)</f>
        <v/>
      </c>
      <c r="G10" s="12">
        <f>SUM(G4:G9)</f>
        <v/>
      </c>
    </row>
    <row r="11">
      <c r="A11" t="inlineStr">
        <is>
          <t>Growth</t>
        </is>
      </c>
      <c r="B11" s="13">
        <f>B10/SUM(Drivers!$B$29:$B$34)-1</f>
        <v/>
      </c>
      <c r="C11" s="13">
        <f>C10/B10-1</f>
        <v/>
      </c>
      <c r="D11" s="13">
        <f>D10/C10-1</f>
        <v/>
      </c>
      <c r="E11" s="13">
        <f>E10/D10-1</f>
        <v/>
      </c>
      <c r="F11" s="13">
        <f>F10/E10-1</f>
        <v/>
      </c>
      <c r="G11" s="13">
        <f>G10/F10-1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Vintage depreciation schedule</t>
        </is>
      </c>
    </row>
    <row r="2">
      <c r="A2" s="2" t="inlineStr">
        <is>
          <t>Assets split 72% short-lived (6yr) / 28% long-lived (25yr), half-year convention in the vintage year. This is the schedule the consensus feed does not carry.</t>
        </is>
      </c>
    </row>
    <row r="4">
      <c r="A4" s="3" t="inlineStr">
        <is>
          <t>Item</t>
        </is>
      </c>
      <c r="B4" s="4" t="inlineStr">
        <is>
          <t>2026E</t>
        </is>
      </c>
      <c r="C4" s="4" t="inlineStr">
        <is>
          <t>2027E</t>
        </is>
      </c>
      <c r="D4" s="4" t="inlineStr">
        <is>
          <t>2028E</t>
        </is>
      </c>
      <c r="E4" s="4" t="inlineStr">
        <is>
          <t>2029E</t>
        </is>
      </c>
      <c r="F4" s="4" t="inlineStr">
        <is>
          <t>2030E</t>
        </is>
      </c>
      <c r="G4" s="4" t="inlineStr">
        <is>
          <t>2031E</t>
        </is>
      </c>
    </row>
    <row r="5">
      <c r="A5" t="inlineStr">
        <is>
          <t>Capex ($)</t>
        </is>
      </c>
      <c r="B5" s="11">
        <f>Revenue!B10*Drivers!B$24</f>
        <v/>
      </c>
      <c r="C5" s="11">
        <f>Revenue!C10*Drivers!C$24</f>
        <v/>
      </c>
      <c r="D5" s="11">
        <f>Revenue!D10*Drivers!D$24</f>
        <v/>
      </c>
      <c r="E5" s="11">
        <f>Revenue!E10*Drivers!E$24</f>
        <v/>
      </c>
      <c r="F5" s="11">
        <f>Revenue!F10*Drivers!F$24</f>
        <v/>
      </c>
      <c r="G5" s="11">
        <f>Revenue!G10*Drivers!G$24</f>
        <v/>
      </c>
    </row>
    <row r="6">
      <c r="A6" s="5" t="inlineStr">
        <is>
          <t>D&amp;A ($) — modelled</t>
        </is>
      </c>
      <c r="B6" s="14" t="n">
        <v>39998265854.076</v>
      </c>
      <c r="C6" s="14" t="n">
        <v>56638990747.88184</v>
      </c>
      <c r="D6" s="14" t="n">
        <v>73081354671.9088</v>
      </c>
      <c r="E6" s="14" t="n">
        <v>89289549095.0303</v>
      </c>
      <c r="F6" s="14" t="n">
        <v>102608877619.3317</v>
      </c>
      <c r="G6" s="14" t="n">
        <v>111064582646.3764</v>
      </c>
      <c r="H6" s="2" t="inlineStr">
        <is>
          <t>Computed in build/cases.py:depreciation_path from capex vintages.</t>
        </is>
      </c>
    </row>
    <row r="7">
      <c r="A7" t="inlineStr">
        <is>
          <t>D&amp;A % of revenue</t>
        </is>
      </c>
      <c r="B7" s="13">
        <f>B6/Revenue!B10</f>
        <v/>
      </c>
      <c r="C7" s="13">
        <f>C6/Revenue!C10</f>
        <v/>
      </c>
      <c r="D7" s="13">
        <f>D6/Revenue!D10</f>
        <v/>
      </c>
      <c r="E7" s="13">
        <f>E6/Revenue!E10</f>
        <v/>
      </c>
      <c r="F7" s="13">
        <f>F6/Revenue!F10</f>
        <v/>
      </c>
      <c r="G7" s="13">
        <f>G6/Revenue!G10</f>
        <v/>
      </c>
    </row>
    <row r="8">
      <c r="A8" t="inlineStr">
        <is>
          <t>Capex / D&amp;A ratio</t>
        </is>
      </c>
      <c r="B8" s="15">
        <f>B5/B6</f>
        <v/>
      </c>
      <c r="C8" s="15">
        <f>C5/C6</f>
        <v/>
      </c>
      <c r="D8" s="15">
        <f>D5/D6</f>
        <v/>
      </c>
      <c r="E8" s="15">
        <f>E5/E6</f>
        <v/>
      </c>
      <c r="F8" s="15">
        <f>F5/F6</f>
        <v/>
      </c>
      <c r="G8" s="15">
        <f>G5/G6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4" customWidth="1" min="8" max="8"/>
  </cols>
  <sheetData>
    <row r="1">
      <c r="A1" s="1" t="inlineStr">
        <is>
          <t>GOOGL — unlevered FCFF DCF, mid-year convention</t>
        </is>
      </c>
    </row>
    <row r="3">
      <c r="A3" s="3" t="inlineStr">
        <is>
          <t>Line</t>
        </is>
      </c>
      <c r="B3" s="4" t="inlineStr">
        <is>
          <t>2026E</t>
        </is>
      </c>
      <c r="C3" s="4" t="inlineStr">
        <is>
          <t>2027E</t>
        </is>
      </c>
      <c r="D3" s="4" t="inlineStr">
        <is>
          <t>2028E</t>
        </is>
      </c>
      <c r="E3" s="4" t="inlineStr">
        <is>
          <t>2029E</t>
        </is>
      </c>
      <c r="F3" s="4" t="inlineStr">
        <is>
          <t>2030E</t>
        </is>
      </c>
      <c r="G3" s="4" t="inlineStr">
        <is>
          <t>2031E</t>
        </is>
      </c>
    </row>
    <row r="4">
      <c r="A4" s="16" t="inlineStr">
        <is>
          <t>Revenue</t>
        </is>
      </c>
      <c r="B4" s="11">
        <f>Revenue!B10</f>
        <v/>
      </c>
      <c r="C4" s="11">
        <f>Revenue!C10</f>
        <v/>
      </c>
      <c r="D4" s="11">
        <f>Revenue!D10</f>
        <v/>
      </c>
      <c r="E4" s="11">
        <f>Revenue!E10</f>
        <v/>
      </c>
      <c r="F4" s="11">
        <f>Revenue!F10</f>
        <v/>
      </c>
      <c r="G4" s="11">
        <f>Revenue!G10</f>
        <v/>
      </c>
    </row>
    <row r="5">
      <c r="A5" s="16" t="inlineStr">
        <is>
          <t>EBITDA margin</t>
        </is>
      </c>
      <c r="B5" s="13">
        <f>Drivers!B$23</f>
        <v/>
      </c>
      <c r="C5" s="13">
        <f>Drivers!C$23</f>
        <v/>
      </c>
      <c r="D5" s="13">
        <f>Drivers!D$23</f>
        <v/>
      </c>
      <c r="E5" s="13">
        <f>Drivers!E$23</f>
        <v/>
      </c>
      <c r="F5" s="13">
        <f>Drivers!F$23</f>
        <v/>
      </c>
      <c r="G5" s="13">
        <f>Drivers!G$23</f>
        <v/>
      </c>
    </row>
    <row r="6">
      <c r="A6" s="16" t="inlineStr">
        <is>
          <t>EBITDA</t>
        </is>
      </c>
      <c r="B6" s="11">
        <f>B4*B5</f>
        <v/>
      </c>
      <c r="C6" s="11">
        <f>C4*C5</f>
        <v/>
      </c>
      <c r="D6" s="11">
        <f>D4*D5</f>
        <v/>
      </c>
      <c r="E6" s="11">
        <f>E4*E5</f>
        <v/>
      </c>
      <c r="F6" s="11">
        <f>F4*F5</f>
        <v/>
      </c>
      <c r="G6" s="11">
        <f>G4*G5</f>
        <v/>
      </c>
    </row>
    <row r="7">
      <c r="A7" s="16" t="inlineStr">
        <is>
          <t>D&amp;A</t>
        </is>
      </c>
      <c r="B7" s="11">
        <f>Depreciation!B6</f>
        <v/>
      </c>
      <c r="C7" s="11">
        <f>Depreciation!C6</f>
        <v/>
      </c>
      <c r="D7" s="11">
        <f>Depreciation!D6</f>
        <v/>
      </c>
      <c r="E7" s="11">
        <f>Depreciation!E6</f>
        <v/>
      </c>
      <c r="F7" s="11">
        <f>Depreciation!F6</f>
        <v/>
      </c>
      <c r="G7" s="11">
        <f>Depreciation!G6</f>
        <v/>
      </c>
    </row>
    <row r="8">
      <c r="A8" s="5" t="inlineStr">
        <is>
          <t>EBIT</t>
        </is>
      </c>
      <c r="B8" s="11">
        <f>B6-B7</f>
        <v/>
      </c>
      <c r="C8" s="11">
        <f>C6-C7</f>
        <v/>
      </c>
      <c r="D8" s="11">
        <f>D6-D7</f>
        <v/>
      </c>
      <c r="E8" s="11">
        <f>E6-E7</f>
        <v/>
      </c>
      <c r="F8" s="11">
        <f>F6-F7</f>
        <v/>
      </c>
      <c r="G8" s="11">
        <f>G6-G7</f>
        <v/>
      </c>
    </row>
    <row r="9">
      <c r="A9" s="16" t="inlineStr">
        <is>
          <t>EBIT margin</t>
        </is>
      </c>
      <c r="B9" s="13">
        <f>B8/B4</f>
        <v/>
      </c>
      <c r="C9" s="13">
        <f>C8/C4</f>
        <v/>
      </c>
      <c r="D9" s="13">
        <f>D8/D4</f>
        <v/>
      </c>
      <c r="E9" s="13">
        <f>E8/E4</f>
        <v/>
      </c>
      <c r="F9" s="13">
        <f>F8/F4</f>
        <v/>
      </c>
      <c r="G9" s="13">
        <f>G8/G4</f>
        <v/>
      </c>
    </row>
    <row r="10">
      <c r="A10" s="16" t="inlineStr">
        <is>
          <t>Tax rate</t>
        </is>
      </c>
      <c r="B10" s="13">
        <f>Drivers!B$25</f>
        <v/>
      </c>
      <c r="C10" s="13">
        <f>Drivers!C$25</f>
        <v/>
      </c>
      <c r="D10" s="13">
        <f>Drivers!D$25</f>
        <v/>
      </c>
      <c r="E10" s="13">
        <f>Drivers!E$25</f>
        <v/>
      </c>
      <c r="F10" s="13">
        <f>Drivers!F$25</f>
        <v/>
      </c>
      <c r="G10" s="13">
        <f>Drivers!G$25</f>
        <v/>
      </c>
    </row>
    <row r="11">
      <c r="A11" s="5" t="inlineStr">
        <is>
          <t>NOPAT</t>
        </is>
      </c>
      <c r="B11" s="11">
        <f>B8*(1-B10)</f>
        <v/>
      </c>
      <c r="C11" s="11">
        <f>C8*(1-C10)</f>
        <v/>
      </c>
      <c r="D11" s="11">
        <f>D8*(1-D10)</f>
        <v/>
      </c>
      <c r="E11" s="11">
        <f>E8*(1-E10)</f>
        <v/>
      </c>
      <c r="F11" s="11">
        <f>F8*(1-F10)</f>
        <v/>
      </c>
      <c r="G11" s="11">
        <f>G8*(1-G10)</f>
        <v/>
      </c>
    </row>
    <row r="12">
      <c r="A12" s="16" t="inlineStr">
        <is>
          <t>Capex</t>
        </is>
      </c>
      <c r="B12" s="11">
        <f>Depreciation!B5</f>
        <v/>
      </c>
      <c r="C12" s="11">
        <f>Depreciation!C5</f>
        <v/>
      </c>
      <c r="D12" s="11">
        <f>Depreciation!D5</f>
        <v/>
      </c>
      <c r="E12" s="11">
        <f>Depreciation!E5</f>
        <v/>
      </c>
      <c r="F12" s="11">
        <f>Depreciation!F5</f>
        <v/>
      </c>
      <c r="G12" s="11">
        <f>Depreciation!G5</f>
        <v/>
      </c>
    </row>
    <row r="13">
      <c r="A13" s="16" t="inlineStr">
        <is>
          <t>NWC</t>
        </is>
      </c>
      <c r="B13" s="11">
        <f>B4*Drivers!B$26</f>
        <v/>
      </c>
      <c r="C13" s="11">
        <f>C4*Drivers!C$26</f>
        <v/>
      </c>
      <c r="D13" s="11">
        <f>D4*Drivers!D$26</f>
        <v/>
      </c>
      <c r="E13" s="11">
        <f>E4*Drivers!E$26</f>
        <v/>
      </c>
      <c r="F13" s="11">
        <f>F4*Drivers!F$26</f>
        <v/>
      </c>
      <c r="G13" s="11">
        <f>G4*Drivers!G$26</f>
        <v/>
      </c>
    </row>
    <row r="14">
      <c r="A14" s="16" t="inlineStr">
        <is>
          <t>Change in NWC</t>
        </is>
      </c>
      <c r="B14" s="11">
        <f>B13-SUM(Drivers!$B$29:$B$34)*Drivers!$B$26</f>
        <v/>
      </c>
      <c r="C14" s="11">
        <f>C13-B13</f>
        <v/>
      </c>
      <c r="D14" s="11">
        <f>D13-C13</f>
        <v/>
      </c>
      <c r="E14" s="11">
        <f>E13-D13</f>
        <v/>
      </c>
      <c r="F14" s="11">
        <f>F13-E13</f>
        <v/>
      </c>
      <c r="G14" s="11">
        <f>G13-F13</f>
        <v/>
      </c>
    </row>
    <row r="15">
      <c r="A15" s="5" t="inlineStr">
        <is>
          <t>FCFF</t>
        </is>
      </c>
      <c r="B15" s="11">
        <f>B11+B7-B12-B14</f>
        <v/>
      </c>
      <c r="C15" s="11">
        <f>C11+C7-C12-C14</f>
        <v/>
      </c>
      <c r="D15" s="11">
        <f>D11+D7-D12-D14</f>
        <v/>
      </c>
      <c r="E15" s="11">
        <f>E11+E7-E12-E14</f>
        <v/>
      </c>
      <c r="F15" s="11">
        <f>F11+F7-F12-F14</f>
        <v/>
      </c>
      <c r="G15" s="11">
        <f>G11+G7-G12-G14</f>
        <v/>
      </c>
    </row>
    <row r="16">
      <c r="A16" s="16" t="inlineStr">
        <is>
          <t>Discount factor</t>
        </is>
      </c>
      <c r="B16" s="17">
        <f>1/(1+Drivers!$B$36)^(0+0.5)</f>
        <v/>
      </c>
      <c r="C16" s="17">
        <f>1/(1+Drivers!$B$36)^(1+0.5)</f>
        <v/>
      </c>
      <c r="D16" s="17">
        <f>1/(1+Drivers!$B$36)^(2+0.5)</f>
        <v/>
      </c>
      <c r="E16" s="17">
        <f>1/(1+Drivers!$B$36)^(3+0.5)</f>
        <v/>
      </c>
      <c r="F16" s="17">
        <f>1/(1+Drivers!$B$36)^(4+0.5)</f>
        <v/>
      </c>
      <c r="G16" s="17">
        <f>1/(1+Drivers!$B$36)^(5+0.5)</f>
        <v/>
      </c>
    </row>
    <row r="17">
      <c r="A17" s="16" t="inlineStr">
        <is>
          <t>PV of FCFF</t>
        </is>
      </c>
      <c r="B17" s="11">
        <f>B15*B16</f>
        <v/>
      </c>
      <c r="C17" s="11">
        <f>C15*C16</f>
        <v/>
      </c>
      <c r="D17" s="11">
        <f>D15*D16</f>
        <v/>
      </c>
      <c r="E17" s="11">
        <f>E15*E16</f>
        <v/>
      </c>
      <c r="F17" s="11">
        <f>F15*F16</f>
        <v/>
      </c>
      <c r="G17" s="11">
        <f>G15*G16</f>
        <v/>
      </c>
    </row>
    <row r="19">
      <c r="A19" s="5" t="inlineStr">
        <is>
          <t>PV of explicit forecast</t>
        </is>
      </c>
      <c r="B19" s="11">
        <f>SUM(B17:G17)</f>
        <v/>
      </c>
    </row>
    <row r="20">
      <c r="A20" s="5" t="inlineStr">
        <is>
          <t>Terminal value</t>
        </is>
      </c>
      <c r="B20" s="11">
        <f>G15*(1+Drivers!$B$37)/(Drivers!$B$36-Drivers!$B$37)</f>
        <v/>
      </c>
    </row>
    <row r="21">
      <c r="A21" s="5" t="inlineStr">
        <is>
          <t>PV of terminal value</t>
        </is>
      </c>
      <c r="B21" s="11">
        <f>B20/(1+Drivers!$B$36)^(6-0.5)</f>
        <v/>
      </c>
    </row>
    <row r="22">
      <c r="A22" s="5" t="inlineStr">
        <is>
          <t>Enterprise value</t>
        </is>
      </c>
      <c r="B22" s="11">
        <f>B19+B21</f>
        <v/>
      </c>
    </row>
    <row r="23">
      <c r="A23" s="5" t="inlineStr">
        <is>
          <t>+ Cash &amp; marketable securities</t>
        </is>
      </c>
      <c r="B23" s="11">
        <f>Drivers!$B$39</f>
        <v/>
      </c>
    </row>
    <row r="24">
      <c r="A24" s="5" t="inlineStr">
        <is>
          <t>+ Equity investments</t>
        </is>
      </c>
      <c r="B24" s="11">
        <f>Drivers!$B$40</f>
        <v/>
      </c>
    </row>
    <row r="25">
      <c r="A25" s="5" t="inlineStr">
        <is>
          <t>- Debt</t>
        </is>
      </c>
      <c r="B25" s="11">
        <f>-Drivers!$B$41</f>
        <v/>
      </c>
    </row>
    <row r="26">
      <c r="A26" s="5" t="inlineStr">
        <is>
          <t>- Operating leases</t>
        </is>
      </c>
      <c r="B26" s="11">
        <f>-Drivers!$B$42</f>
        <v/>
      </c>
    </row>
    <row r="27">
      <c r="A27" s="5" t="inlineStr">
        <is>
          <t>Equity value</t>
        </is>
      </c>
      <c r="B27" s="11">
        <f>B22+B23+B24+B25+B26</f>
        <v/>
      </c>
    </row>
    <row r="28">
      <c r="A28" s="5" t="inlineStr">
        <is>
          <t>Value per share</t>
        </is>
      </c>
      <c r="B28" s="18">
        <f>B27/Drivers!$B$38</f>
        <v/>
      </c>
    </row>
    <row r="29">
      <c r="A29" s="5" t="inlineStr">
        <is>
          <t>Spot price</t>
        </is>
      </c>
      <c r="B29" s="19">
        <f>Drivers!$B$43</f>
        <v/>
      </c>
    </row>
    <row r="30">
      <c r="A30" s="5" t="inlineStr">
        <is>
          <t>Upside / (downside)</t>
        </is>
      </c>
      <c r="B30" s="13">
        <f>B28/B29-1</f>
        <v/>
      </c>
    </row>
    <row r="31">
      <c r="A31" s="5" t="inlineStr">
        <is>
          <t>Terminal value % of EV</t>
        </is>
      </c>
      <c r="B31" s="13">
        <f>B21/B22</f>
        <v/>
      </c>
    </row>
    <row r="33">
      <c r="A33" s="2" t="inlineStr">
        <is>
          <t>Sanity check: WACC minus terminal growth should exceed 150bp.</t>
        </is>
      </c>
    </row>
    <row r="34">
      <c r="A34" t="inlineStr">
        <is>
          <t>WACC - g</t>
        </is>
      </c>
      <c r="B34" s="20">
        <f>Drivers!$B$36-Drivers!$B$37</f>
        <v/>
      </c>
      <c r="C34">
        <f>IF(B34&gt;0.015,"OK","FAIL — terminal value unstable")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Our forecast against the analyst distribution</t>
        </is>
      </c>
    </row>
    <row r="2">
      <c r="A2" s="2" t="inlineStr">
        <is>
          <t>Street figures are the consensus feed as retrieved 2026-08-05. Low/high are the support of published estimates, not a confidence interval.</t>
        </is>
      </c>
    </row>
    <row r="4">
      <c r="A4" s="3" t="inlineStr">
        <is>
          <t>Fiscal year</t>
        </is>
      </c>
      <c r="B4" s="4" t="inlineStr">
        <is>
          <t>Our revenue</t>
        </is>
      </c>
      <c r="C4" s="4" t="inlineStr">
        <is>
          <t>Street avg</t>
        </is>
      </c>
      <c r="D4" s="4" t="inlineStr">
        <is>
          <t>Street low</t>
        </is>
      </c>
      <c r="E4" s="4" t="inlineStr">
        <is>
          <t>Street high</t>
        </is>
      </c>
      <c r="F4" s="4" t="inlineStr">
        <is>
          <t>Delta %</t>
        </is>
      </c>
      <c r="G4" s="4" t="inlineStr">
        <is>
          <t>Analysts</t>
        </is>
      </c>
      <c r="H4" s="4" t="inlineStr">
        <is>
          <t>In range?</t>
        </is>
      </c>
    </row>
    <row r="5">
      <c r="A5" t="n">
        <v>2026</v>
      </c>
      <c r="B5" s="11" t="n">
        <v>491964957320.9999</v>
      </c>
      <c r="C5" s="11" t="n">
        <v>495194912007</v>
      </c>
      <c r="D5" s="11" t="n">
        <v>488834946807</v>
      </c>
      <c r="E5" s="11" t="n">
        <v>500626666069</v>
      </c>
      <c r="F5" s="13" t="n">
        <v>-0.00652259263510846</v>
      </c>
      <c r="G5" t="n">
        <v>35</v>
      </c>
      <c r="H5" t="inlineStr">
        <is>
          <t>yes</t>
        </is>
      </c>
    </row>
    <row r="6">
      <c r="A6" t="n">
        <v>2027</v>
      </c>
      <c r="B6" s="11" t="n">
        <v>568666386615.281</v>
      </c>
      <c r="C6" s="11" t="n">
        <v>605866802904</v>
      </c>
      <c r="D6" s="11" t="n">
        <v>574063447987</v>
      </c>
      <c r="E6" s="11" t="n">
        <v>653723173062</v>
      </c>
      <c r="F6" s="13" t="n">
        <v>-0.06140032117688654</v>
      </c>
      <c r="G6" t="n">
        <v>39</v>
      </c>
      <c r="H6" t="inlineStr">
        <is>
          <t>OUTSIDE</t>
        </is>
      </c>
    </row>
    <row r="7">
      <c r="A7" t="n">
        <v>2028</v>
      </c>
      <c r="B7" s="11" t="n">
        <v>644699243159.1138</v>
      </c>
      <c r="C7" s="11" t="n">
        <v>721625171799</v>
      </c>
      <c r="D7" s="11" t="n">
        <v>539933823678</v>
      </c>
      <c r="E7" s="11" t="n">
        <v>798798263142</v>
      </c>
      <c r="F7" s="13" t="n">
        <v>-0.1066009496981807</v>
      </c>
      <c r="G7" t="n">
        <v>38</v>
      </c>
      <c r="H7" t="inlineStr">
        <is>
          <t>yes</t>
        </is>
      </c>
    </row>
    <row r="8">
      <c r="A8" t="n">
        <v>2029</v>
      </c>
      <c r="B8" s="11" t="n">
        <v>721112771401.3099</v>
      </c>
      <c r="C8" s="11" t="n">
        <v>815730364847</v>
      </c>
      <c r="D8" s="11" t="n">
        <v>714927001762</v>
      </c>
      <c r="E8" s="11" t="n">
        <v>879702248650</v>
      </c>
      <c r="F8" s="13" t="n">
        <v>-0.1159912607439061</v>
      </c>
      <c r="G8" t="n">
        <v>29</v>
      </c>
      <c r="H8" t="inlineStr">
        <is>
          <t>yes</t>
        </is>
      </c>
    </row>
    <row r="9">
      <c r="A9" t="n">
        <v>2030</v>
      </c>
      <c r="B9" s="11" t="n">
        <v>798061880807.2632</v>
      </c>
      <c r="C9" s="11" t="n">
        <v>936258242857</v>
      </c>
      <c r="D9" s="11" t="n">
        <v>820560723599</v>
      </c>
      <c r="E9" s="11" t="n">
        <v>1009682263958</v>
      </c>
      <c r="F9" s="13" t="n">
        <v>-0.147604961669581</v>
      </c>
      <c r="G9" t="n">
        <v>35</v>
      </c>
      <c r="H9" t="inlineStr">
        <is>
          <t>OUTSIDE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GOOGL — scenarios, expected value and sizing</t>
        </is>
      </c>
    </row>
    <row r="3">
      <c r="A3" s="3" t="inlineStr">
        <is>
          <t>Case</t>
        </is>
      </c>
      <c r="B3" s="4" t="inlineStr">
        <is>
          <t>Value / share</t>
        </is>
      </c>
      <c r="C3" s="4" t="inlineStr">
        <is>
          <t>Probability</t>
        </is>
      </c>
      <c r="D3" s="4" t="inlineStr">
        <is>
          <t>vs spot</t>
        </is>
      </c>
      <c r="E3" s="4" t="inlineStr">
        <is>
          <t>Anchor</t>
        </is>
      </c>
    </row>
    <row r="4">
      <c r="A4" t="inlineStr">
        <is>
          <t>Bear</t>
        </is>
      </c>
      <c r="B4" s="19" t="n">
        <v>114.7266842997515</v>
      </c>
      <c r="C4" s="13" t="n">
        <v>0.25</v>
      </c>
      <c r="D4" s="13">
        <f>B4/Valuation!B29-1</f>
        <v/>
      </c>
      <c r="E4" t="inlineStr">
        <is>
          <t>consensus dispersion</t>
        </is>
      </c>
    </row>
    <row r="5">
      <c r="A5" t="inlineStr">
        <is>
          <t>Base</t>
        </is>
      </c>
      <c r="B5" s="19" t="n">
        <v>195.6503291117316</v>
      </c>
      <c r="C5" s="13" t="n">
        <v>0.45</v>
      </c>
      <c r="D5" s="13">
        <f>B5/Valuation!B29-1</f>
        <v/>
      </c>
      <c r="E5" t="inlineStr">
        <is>
          <t>judgment</t>
        </is>
      </c>
    </row>
    <row r="6">
      <c r="A6" t="inlineStr">
        <is>
          <t>Bull</t>
        </is>
      </c>
      <c r="B6" s="19" t="n">
        <v>439.3087451390608</v>
      </c>
      <c r="C6" s="13" t="n">
        <v>0.3</v>
      </c>
      <c r="D6" s="13">
        <f>B6/Valuation!B29-1</f>
        <v/>
      </c>
      <c r="E6" t="inlineStr">
        <is>
          <t>consensus dispersion</t>
        </is>
      </c>
    </row>
    <row r="7">
      <c r="A7" s="5" t="inlineStr">
        <is>
          <t>Expected value</t>
        </is>
      </c>
      <c r="B7" s="19">
        <f>SUMPRODUCT(B4:B6,C4:C6)</f>
        <v/>
      </c>
      <c r="C7" s="13">
        <f>SUM(C4:C6)</f>
        <v/>
      </c>
      <c r="D7" s="13">
        <f>B7/Valuation!B29-1</f>
        <v/>
      </c>
    </row>
    <row r="9">
      <c r="A9" s="5" t="inlineStr">
        <is>
          <t>Rating</t>
        </is>
      </c>
      <c r="B9" s="21" t="inlineStr">
        <is>
          <t>SHORT</t>
        </is>
      </c>
    </row>
    <row r="10">
      <c r="A10" s="16" t="inlineStr">
        <is>
          <t>Risk / reward</t>
        </is>
      </c>
      <c r="B10" s="22" t="n">
        <v>2.094318607876743</v>
      </c>
      <c r="E10" s="2" t="inlineStr">
        <is>
          <t>short framing</t>
        </is>
      </c>
    </row>
    <row r="11">
      <c r="A11" s="16" t="inlineStr">
        <is>
          <t>Payoff ratio b</t>
        </is>
      </c>
      <c r="B11" s="22" t="n">
        <v>2.094318607876743</v>
      </c>
      <c r="E11" s="2" t="inlineStr">
        <is>
          <t>reward / risk</t>
        </is>
      </c>
    </row>
    <row r="12">
      <c r="A12" s="16" t="inlineStr">
        <is>
          <t>p(win)</t>
        </is>
      </c>
      <c r="B12" s="13" t="n">
        <v>0.7</v>
      </c>
      <c r="E12" s="2" t="inlineStr">
        <is>
          <t>probability mass favouring the position</t>
        </is>
      </c>
    </row>
    <row r="13">
      <c r="A13" s="16" t="inlineStr">
        <is>
          <t>Kelly f</t>
        </is>
      </c>
      <c r="B13" s="13" t="n">
        <v>0.5567553194286204</v>
      </c>
      <c r="E13" s="2" t="inlineStr"/>
    </row>
    <row r="14">
      <c r="A14" s="16" t="inlineStr">
        <is>
          <t>Quarter-Kelly</t>
        </is>
      </c>
      <c r="B14" s="13" t="n">
        <v>0.1391888298571551</v>
      </c>
      <c r="E14" s="2" t="inlineStr">
        <is>
          <t>0.25 x Kelly</t>
        </is>
      </c>
    </row>
    <row r="15">
      <c r="A15" s="16" t="inlineStr">
        <is>
          <t>Liquidity cap</t>
        </is>
      </c>
      <c r="B15" s="13" t="n">
        <v>22.4</v>
      </c>
      <c r="E15" s="2" t="inlineStr">
        <is>
          <t>20% of ADV over 5 days</t>
        </is>
      </c>
    </row>
    <row r="16">
      <c r="A16" s="16" t="inlineStr">
        <is>
          <t>Risk-budget cap</t>
        </is>
      </c>
      <c r="B16" s="13" t="n">
        <v>0.09187261250977655</v>
      </c>
      <c r="E16" s="2" t="inlineStr">
        <is>
          <t>1.5% of NAV at risk</t>
        </is>
      </c>
    </row>
    <row r="17">
      <c r="A17" s="16" t="inlineStr">
        <is>
          <t>Concentration cap</t>
        </is>
      </c>
      <c r="B17" s="13" t="n">
        <v>0.05</v>
      </c>
      <c r="E17" s="2" t="inlineStr">
        <is>
          <t>single-name hard limit</t>
        </is>
      </c>
    </row>
    <row r="18">
      <c r="A18" s="5" t="inlineStr">
        <is>
          <t>Position size</t>
        </is>
      </c>
      <c r="B18" s="23" t="n">
        <v>0.05</v>
      </c>
      <c r="E18" s="2" t="inlineStr">
        <is>
          <t>binding: concentration cap</t>
        </is>
      </c>
    </row>
    <row r="20">
      <c r="A20" s="2" t="inlineStr">
        <is>
          <t>Basis: illustrative $1bn book. Illustrative only.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Sources, method and limitations</t>
        </is>
      </c>
    </row>
    <row r="3">
      <c r="A3" s="24" t="inlineStr">
        <is>
          <t>Base year: trailing twelve months to 2026-06-30, all statement inputs from SEC XBRL companyconcept (CIK 0001652044).</t>
        </is>
      </c>
    </row>
    <row r="4">
      <c r="A4" s="24" t="inlineStr">
        <is>
          <t>Quarterly series are reconstructed from filed facts: Q4 is derived as fiscal year minus the nine-month cumulative, and cash-flow items are unwound from year-to-date cumulatives.</t>
        </is>
      </c>
    </row>
    <row r="5">
      <c r="A5" s="24" t="inlineStr">
        <is>
          <t>Consensus estimates and price targets: FMP analyst/financial-estimates and analyst/price-target-consensus, retrieved 2026-08-05.</t>
        </is>
      </c>
    </row>
    <row r="6">
      <c r="A6" s="24" t="inlineStr">
        <is>
          <t>Segment revenue: FMP statements/revenue-product-segmentation. No SEC fallback exists because companyfacts flattens dimensioned facts; the segment sum is reconciled to consolidated revenue.</t>
        </is>
      </c>
    </row>
    <row r="7">
      <c r="A7" s="24" t="inlineStr"/>
    </row>
    <row r="8">
      <c r="A8" s="24" t="inlineStr">
        <is>
          <t>MODEL DESIGN. We forecast EBITDA margin and derive EBIT by subtracting a depreciation schedule built from capex vintages. Forecasting EBIT margin directly hides the depreciation assumption.</t>
        </is>
      </c>
    </row>
    <row r="9">
      <c r="A9" s="24" t="inlineStr"/>
    </row>
    <row r="10">
      <c r="A10" s="24" t="inlineStr">
        <is>
          <t>KEY LIMITATION. The asset-life split driving the depreciation schedule is a stated assumption calibrated to reported D&amp;A, not a disclosed figure. It is the most load-bearing assumption in the model.</t>
        </is>
      </c>
    </row>
    <row r="11">
      <c r="A11" s="24" t="inlineStr"/>
    </row>
    <row r="12">
      <c r="A12" s="24" t="inlineStr">
        <is>
          <t>This is analytical research on public information. Not investment advice, not a recommendation to any person, and not a solicitation. Position sizing is illustrative against a notional $1bn 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2026-08-05T20:00:09Z</dcterms:created>
  <dcterms:modified xsi:type="dcterms:W3CDTF">2026-08-05T20:00:09Z</dcterms:modified>
</cp:coreProperties>
</file>