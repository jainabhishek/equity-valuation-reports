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Alphabet Inc. (GOOGL)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  <c r="G4" s="4" t="inlineStr">
        <is>
          <t>2031E</t>
        </is>
      </c>
      <c r="H4" s="4" t="inlineStr">
        <is>
          <t>Note</t>
        </is>
      </c>
    </row>
    <row r="5">
      <c r="A5" s="5" t="inlineStr">
        <is>
          <t>Google Search &amp; other</t>
        </is>
      </c>
    </row>
    <row r="6">
      <c r="A6" t="inlineStr">
        <is>
          <t xml:space="preserve">   queries</t>
        </is>
      </c>
      <c r="B6" s="6" t="n">
        <v>0.065</v>
      </c>
      <c r="C6" s="6" t="n">
        <v>0.055</v>
      </c>
      <c r="D6" s="6" t="n">
        <v>0.05</v>
      </c>
      <c r="E6" s="6" t="n">
        <v>0.045</v>
      </c>
      <c r="F6" s="6" t="n">
        <v>0.04</v>
      </c>
      <c r="G6" s="6" t="n">
        <v>0.035</v>
      </c>
    </row>
    <row r="7">
      <c r="A7" t="inlineStr">
        <is>
          <t xml:space="preserve">   ad coverage</t>
        </is>
      </c>
      <c r="B7" s="6" t="n">
        <v>-0.01</v>
      </c>
      <c r="C7" s="6" t="n">
        <v>-0.015</v>
      </c>
      <c r="D7" s="6" t="n">
        <v>-0.015</v>
      </c>
      <c r="E7" s="6" t="n">
        <v>-0.01</v>
      </c>
      <c r="F7" s="6" t="n">
        <v>-0.005</v>
      </c>
      <c r="G7" s="6" t="n">
        <v>0</v>
      </c>
    </row>
    <row r="8">
      <c r="A8" t="inlineStr">
        <is>
          <t xml:space="preserve">   price per click</t>
        </is>
      </c>
      <c r="B8" s="6" t="n">
        <v>0.13</v>
      </c>
      <c r="C8" s="6" t="n">
        <v>0.08</v>
      </c>
      <c r="D8" s="6" t="n">
        <v>0.062</v>
      </c>
      <c r="E8" s="6" t="n">
        <v>0.05</v>
      </c>
      <c r="F8" s="6" t="n">
        <v>0.045</v>
      </c>
      <c r="G8" s="6" t="n">
        <v>0.04</v>
      </c>
    </row>
    <row r="9">
      <c r="A9" s="5" t="inlineStr">
        <is>
          <t>YouTube ads</t>
        </is>
      </c>
    </row>
    <row r="10">
      <c r="A10" t="inlineStr">
        <is>
          <t xml:space="preserve">   watch hours</t>
        </is>
      </c>
      <c r="B10" s="6" t="n">
        <v>0.05</v>
      </c>
      <c r="C10" s="6" t="n">
        <v>0.045</v>
      </c>
      <c r="D10" s="6" t="n">
        <v>0.04</v>
      </c>
      <c r="E10" s="6" t="n">
        <v>0.035</v>
      </c>
      <c r="F10" s="6" t="n">
        <v>0.03</v>
      </c>
      <c r="G10" s="6" t="n">
        <v>0.03</v>
      </c>
    </row>
    <row r="11">
      <c r="A11" t="inlineStr">
        <is>
          <t xml:space="preserve">   ad load</t>
        </is>
      </c>
      <c r="B11" s="6" t="n">
        <v>0.02</v>
      </c>
      <c r="C11" s="6" t="n">
        <v>0.015</v>
      </c>
      <c r="D11" s="6" t="n">
        <v>0.01</v>
      </c>
      <c r="E11" s="6" t="n">
        <v>0.005</v>
      </c>
      <c r="F11" s="6" t="n">
        <v>0</v>
      </c>
      <c r="G11" s="6" t="n">
        <v>0</v>
      </c>
    </row>
    <row r="12">
      <c r="A12" t="inlineStr">
        <is>
          <t xml:space="preserve">   cpm</t>
        </is>
      </c>
      <c r="B12" s="6" t="n">
        <v>0.075</v>
      </c>
      <c r="C12" s="6" t="n">
        <v>0.05</v>
      </c>
      <c r="D12" s="6" t="n">
        <v>0.04</v>
      </c>
      <c r="E12" s="6" t="n">
        <v>0.035</v>
      </c>
      <c r="F12" s="6" t="n">
        <v>0.03</v>
      </c>
      <c r="G12" s="6" t="n">
        <v>0.025</v>
      </c>
    </row>
    <row r="13">
      <c r="A13" s="5" t="inlineStr">
        <is>
          <t>Google Network</t>
        </is>
      </c>
    </row>
    <row r="14">
      <c r="A14" t="inlineStr">
        <is>
          <t xml:space="preserve">   runoff</t>
        </is>
      </c>
      <c r="B14" s="6" t="n">
        <v>-0.03</v>
      </c>
      <c r="C14" s="6" t="n">
        <v>-0.04</v>
      </c>
      <c r="D14" s="6" t="n">
        <v>-0.04</v>
      </c>
      <c r="E14" s="6" t="n">
        <v>-0.05</v>
      </c>
      <c r="F14" s="6" t="n">
        <v>-0.05</v>
      </c>
      <c r="G14" s="6" t="n">
        <v>-0.05</v>
      </c>
    </row>
    <row r="15">
      <c r="A15" s="5" t="inlineStr">
        <is>
          <t>Subscriptions, platforms &amp; devices</t>
        </is>
      </c>
    </row>
    <row r="16">
      <c r="A16" t="inlineStr">
        <is>
          <t xml:space="preserve">   subscribers</t>
        </is>
      </c>
      <c r="B16" s="6" t="n">
        <v>0.14</v>
      </c>
      <c r="C16" s="6" t="n">
        <v>0.12</v>
      </c>
      <c r="D16" s="6" t="n">
        <v>0.1</v>
      </c>
      <c r="E16" s="6" t="n">
        <v>0.09</v>
      </c>
      <c r="F16" s="6" t="n">
        <v>0.08</v>
      </c>
      <c r="G16" s="6" t="n">
        <v>0.07000000000000001</v>
      </c>
    </row>
    <row r="17">
      <c r="A17" t="inlineStr">
        <is>
          <t xml:space="preserve">   arpu</t>
        </is>
      </c>
      <c r="B17" s="6" t="n">
        <v>0.03</v>
      </c>
      <c r="C17" s="6" t="n">
        <v>0.03</v>
      </c>
      <c r="D17" s="6" t="n">
        <v>0.025</v>
      </c>
      <c r="E17" s="6" t="n">
        <v>0.025</v>
      </c>
      <c r="F17" s="6" t="n">
        <v>0.02</v>
      </c>
      <c r="G17" s="6" t="n">
        <v>0.02</v>
      </c>
    </row>
    <row r="18">
      <c r="A18" s="5" t="inlineStr">
        <is>
          <t>Google Cloud</t>
        </is>
      </c>
    </row>
    <row r="19">
      <c r="A19" t="inlineStr">
        <is>
          <t xml:space="preserve">   capacity</t>
        </is>
      </c>
      <c r="B19" s="6" t="n">
        <v>0.55</v>
      </c>
      <c r="C19" s="6" t="n">
        <v>0.34</v>
      </c>
      <c r="D19" s="6" t="n">
        <v>0.28</v>
      </c>
      <c r="E19" s="6" t="n">
        <v>0.23</v>
      </c>
      <c r="F19" s="6" t="n">
        <v>0.19</v>
      </c>
      <c r="G19" s="6" t="n">
        <v>0.15</v>
      </c>
    </row>
    <row r="20">
      <c r="A20" s="5" t="inlineStr">
        <is>
          <t>Other Bets</t>
        </is>
      </c>
    </row>
    <row r="21">
      <c r="A21" t="inlineStr">
        <is>
          <t xml:space="preserve">   growth</t>
        </is>
      </c>
      <c r="B21" s="6" t="n">
        <v>0.1</v>
      </c>
      <c r="C21" s="6" t="n">
        <v>0.15</v>
      </c>
      <c r="D21" s="6" t="n">
        <v>0.2</v>
      </c>
      <c r="E21" s="6" t="n">
        <v>0.2</v>
      </c>
      <c r="F21" s="6" t="n">
        <v>0.2</v>
      </c>
      <c r="G21" s="6" t="n">
        <v>0.2</v>
      </c>
    </row>
    <row r="23">
      <c r="A23" s="5" t="inlineStr">
        <is>
          <t>EBITDA margin (cash margin, pre-D&amp;A)</t>
        </is>
      </c>
      <c r="B23" s="6" t="n">
        <v>0.385</v>
      </c>
      <c r="C23" s="6" t="n">
        <v>0.392</v>
      </c>
      <c r="D23" s="6" t="n">
        <v>0.398</v>
      </c>
      <c r="E23" s="6" t="n">
        <v>0.402</v>
      </c>
      <c r="F23" s="6" t="n">
        <v>0.405</v>
      </c>
      <c r="G23" s="6" t="n">
        <v>0.407</v>
      </c>
      <c r="H23" s="2" t="inlineStr">
        <is>
          <t>We forecast this and DERIVE EBIT by subtracting depreciation.</t>
        </is>
      </c>
    </row>
    <row r="24">
      <c r="A24" s="5" t="inlineStr">
        <is>
          <t>Capex % of revenue</t>
        </is>
      </c>
      <c r="B24" s="6" t="n">
        <v>0.406533020337672</v>
      </c>
      <c r="C24" s="6" t="n">
        <v>0.3592264162701376</v>
      </c>
      <c r="D24" s="6" t="n">
        <v>0.3024584913890963</v>
      </c>
      <c r="E24" s="6" t="n">
        <v>0.245690566508055</v>
      </c>
      <c r="F24" s="6" t="n">
        <v>0.1983839624405206</v>
      </c>
      <c r="G24" s="6" t="n">
        <v>0.17</v>
      </c>
      <c r="H24" s="2" t="inlineStr">
        <is>
          <t>Drives the depreciation schedule.</t>
        </is>
      </c>
    </row>
    <row r="25">
      <c r="A25" s="5" t="inlineStr">
        <is>
          <t>Tax rate</t>
        </is>
      </c>
      <c r="B25" s="6" t="n">
        <v>0.185</v>
      </c>
      <c r="C25" s="6" t="n">
        <v>0.19</v>
      </c>
      <c r="D25" s="6" t="n">
        <v>0.19</v>
      </c>
      <c r="E25" s="6" t="n">
        <v>0.19</v>
      </c>
      <c r="F25" s="6" t="n">
        <v>0.19</v>
      </c>
      <c r="G25" s="6" t="n">
        <v>0.19</v>
      </c>
      <c r="H25" s="2" t="inlineStr"/>
    </row>
    <row r="26">
      <c r="A26" s="5" t="inlineStr">
        <is>
          <t>Net working capital % of revenue</t>
        </is>
      </c>
      <c r="B26" s="6" t="n">
        <v>0.02</v>
      </c>
      <c r="C26" s="6" t="n">
        <v>0.02</v>
      </c>
      <c r="D26" s="6" t="n">
        <v>0.02</v>
      </c>
      <c r="E26" s="6" t="n">
        <v>0.02</v>
      </c>
      <c r="F26" s="6" t="n">
        <v>0.02</v>
      </c>
      <c r="G26" s="6" t="n">
        <v>0.02</v>
      </c>
      <c r="H26" s="2" t="inlineStr"/>
    </row>
    <row r="28">
      <c r="A28" s="5" t="inlineStr">
        <is>
          <t>Base year revenue by segment ($)</t>
        </is>
      </c>
    </row>
    <row r="29">
      <c r="A29" t="inlineStr">
        <is>
          <t xml:space="preserve">   Google Search &amp; other</t>
        </is>
      </c>
      <c r="B29" s="7" t="n">
        <v>224532000000</v>
      </c>
    </row>
    <row r="30">
      <c r="A30" t="inlineStr">
        <is>
          <t xml:space="preserve">   YouTube ads</t>
        </is>
      </c>
      <c r="B30" s="7" t="n">
        <v>40367000000</v>
      </c>
    </row>
    <row r="31">
      <c r="A31" t="inlineStr">
        <is>
          <t xml:space="preserve">   Google Network</t>
        </is>
      </c>
      <c r="B31" s="7" t="n">
        <v>29792000000</v>
      </c>
    </row>
    <row r="32">
      <c r="A32" t="inlineStr">
        <is>
          <t xml:space="preserve">   Subscriptions, platforms &amp; devices</t>
        </is>
      </c>
      <c r="B32" s="7" t="n">
        <v>48030000000</v>
      </c>
    </row>
    <row r="33">
      <c r="A33" t="inlineStr">
        <is>
          <t xml:space="preserve">   Google Cloud</t>
        </is>
      </c>
      <c r="B33" s="7" t="n">
        <v>58705000000</v>
      </c>
    </row>
    <row r="34">
      <c r="A34" t="inlineStr">
        <is>
          <t xml:space="preserve">   Other Bets</t>
        </is>
      </c>
      <c r="B34" s="7" t="n">
        <v>1537000000</v>
      </c>
    </row>
    <row r="36">
      <c r="A36" s="5" t="inlineStr">
        <is>
          <t>WACC</t>
        </is>
      </c>
      <c r="B36" s="8" t="n">
        <v>0.08749999999999999</v>
      </c>
      <c r="H36" s="2" t="inlineStr">
        <is>
          <t>Single definition. Every sheet references this cell — there is no override.</t>
        </is>
      </c>
    </row>
    <row r="37">
      <c r="A37" s="5" t="inlineStr">
        <is>
          <t>Terminal growth</t>
        </is>
      </c>
      <c r="B37" s="8" t="n">
        <v>0.03</v>
      </c>
    </row>
    <row r="38">
      <c r="A38" s="5" t="inlineStr">
        <is>
          <t>Diluted shares</t>
        </is>
      </c>
      <c r="B38" s="9" t="n">
        <v>12309000000</v>
      </c>
    </row>
    <row r="39">
      <c r="A39" s="5" t="inlineStr">
        <is>
          <t>Cash &amp; marketable securities</t>
        </is>
      </c>
      <c r="B39" s="7" t="n">
        <v>267274000000</v>
      </c>
    </row>
    <row r="40">
      <c r="A40" s="5" t="inlineStr">
        <is>
          <t>Equity investments (stakes)</t>
        </is>
      </c>
      <c r="B40" s="7" t="n">
        <v>124259000000</v>
      </c>
    </row>
    <row r="41">
      <c r="A41" s="5" t="inlineStr">
        <is>
          <t>Debt</t>
        </is>
      </c>
      <c r="B41" s="7" t="n">
        <v>125164000000</v>
      </c>
    </row>
    <row r="42">
      <c r="A42" s="5" t="inlineStr">
        <is>
          <t>Operating leases</t>
        </is>
      </c>
      <c r="B42" s="7" t="n">
        <v>18037000000</v>
      </c>
    </row>
    <row r="43">
      <c r="A43" s="5" t="inlineStr">
        <is>
          <t>Preferred stock</t>
        </is>
      </c>
      <c r="B43" s="7" t="n">
        <v>18023000000</v>
      </c>
    </row>
    <row r="44">
      <c r="A44" s="5" t="inlineStr">
        <is>
          <t>Spot price</t>
        </is>
      </c>
      <c r="B44" s="10" t="n">
        <v>354.24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2026E</t>
        </is>
      </c>
      <c r="C3" s="4" t="inlineStr">
        <is>
          <t>2027E</t>
        </is>
      </c>
      <c r="D3" s="4" t="inlineStr">
        <is>
          <t>2028E</t>
        </is>
      </c>
      <c r="E3" s="4" t="inlineStr">
        <is>
          <t>2029E</t>
        </is>
      </c>
      <c r="F3" s="4" t="inlineStr">
        <is>
          <t>2030E</t>
        </is>
      </c>
      <c r="G3" s="4" t="inlineStr">
        <is>
          <t>2031E</t>
        </is>
      </c>
    </row>
    <row r="4">
      <c r="A4" t="inlineStr">
        <is>
          <t>Google Search &amp; other</t>
        </is>
      </c>
      <c r="B4" s="11">
        <f>Drivers!$B$29*(1+Drivers!B$6)*(1+Drivers!B$7)*(1+Drivers!B$8)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YouTube ads</t>
        </is>
      </c>
      <c r="B5" s="11">
        <f>Drivers!$B$30*(1+Drivers!B$10)*(1+Drivers!B$11)*(1+Drivers!B$12)</f>
        <v/>
      </c>
      <c r="C5" s="11">
        <f>B5*(1+Drivers!C$10)*(1+Drivers!C$11)*(1+Drivers!C$12)</f>
        <v/>
      </c>
      <c r="D5" s="11">
        <f>C5*(1+Drivers!D$10)*(1+Drivers!D$11)*(1+Drivers!D$12)</f>
        <v/>
      </c>
      <c r="E5" s="11">
        <f>D5*(1+Drivers!E$10)*(1+Drivers!E$11)*(1+Drivers!E$12)</f>
        <v/>
      </c>
      <c r="F5" s="11">
        <f>E5*(1+Drivers!F$10)*(1+Drivers!F$11)*(1+Drivers!F$12)</f>
        <v/>
      </c>
      <c r="G5" s="11">
        <f>F5*(1+Drivers!G$10)*(1+Drivers!G$11)*(1+Drivers!G$12)</f>
        <v/>
      </c>
    </row>
    <row r="6">
      <c r="A6" t="inlineStr">
        <is>
          <t>Google Network</t>
        </is>
      </c>
      <c r="B6" s="11">
        <f>Drivers!$B$31*(1+Drivers!B$14)</f>
        <v/>
      </c>
      <c r="C6" s="11">
        <f>B6*(1+Drivers!C$14)</f>
        <v/>
      </c>
      <c r="D6" s="11">
        <f>C6*(1+Drivers!D$14)</f>
        <v/>
      </c>
      <c r="E6" s="11">
        <f>D6*(1+Drivers!E$14)</f>
        <v/>
      </c>
      <c r="F6" s="11">
        <f>E6*(1+Drivers!F$14)</f>
        <v/>
      </c>
      <c r="G6" s="11">
        <f>F6*(1+Drivers!G$14)</f>
        <v/>
      </c>
    </row>
    <row r="7">
      <c r="A7" t="inlineStr">
        <is>
          <t>Subscriptions, platforms &amp; devices</t>
        </is>
      </c>
      <c r="B7" s="11">
        <f>Drivers!$B$32*(1+Drivers!B$16)*(1+Drivers!B$17)</f>
        <v/>
      </c>
      <c r="C7" s="11">
        <f>B7*(1+Drivers!C$16)*(1+Drivers!C$17)</f>
        <v/>
      </c>
      <c r="D7" s="11">
        <f>C7*(1+Drivers!D$16)*(1+Drivers!D$17)</f>
        <v/>
      </c>
      <c r="E7" s="11">
        <f>D7*(1+Drivers!E$16)*(1+Drivers!E$17)</f>
        <v/>
      </c>
      <c r="F7" s="11">
        <f>E7*(1+Drivers!F$16)*(1+Drivers!F$17)</f>
        <v/>
      </c>
      <c r="G7" s="11">
        <f>F7*(1+Drivers!G$16)*(1+Drivers!G$17)</f>
        <v/>
      </c>
    </row>
    <row r="8">
      <c r="A8" t="inlineStr">
        <is>
          <t>Google Cloud</t>
        </is>
      </c>
      <c r="B8" s="11">
        <f>Drivers!$B$33*(1+Drivers!B$19)</f>
        <v/>
      </c>
      <c r="C8" s="11">
        <f>B8*(1+Drivers!C$19)</f>
        <v/>
      </c>
      <c r="D8" s="11">
        <f>C8*(1+Drivers!D$19)</f>
        <v/>
      </c>
      <c r="E8" s="11">
        <f>D8*(1+Drivers!E$19)</f>
        <v/>
      </c>
      <c r="F8" s="11">
        <f>E8*(1+Drivers!F$19)</f>
        <v/>
      </c>
      <c r="G8" s="11">
        <f>F8*(1+Drivers!G$19)</f>
        <v/>
      </c>
    </row>
    <row r="9">
      <c r="A9" t="inlineStr">
        <is>
          <t>Other Bets</t>
        </is>
      </c>
      <c r="B9" s="11">
        <f>Drivers!$B$34*(1+Drivers!B$21)</f>
        <v/>
      </c>
      <c r="C9" s="11">
        <f>B9*(1+Drivers!C$21)</f>
        <v/>
      </c>
      <c r="D9" s="11">
        <f>C9*(1+Drivers!D$21)</f>
        <v/>
      </c>
      <c r="E9" s="11">
        <f>D9*(1+Drivers!E$21)</f>
        <v/>
      </c>
      <c r="F9" s="11">
        <f>E9*(1+Drivers!F$21)</f>
        <v/>
      </c>
      <c r="G9" s="11">
        <f>F9*(1+Drivers!G$21)</f>
        <v/>
      </c>
    </row>
    <row r="10">
      <c r="A10" s="5" t="inlineStr">
        <is>
          <t>Total revenue</t>
        </is>
      </c>
      <c r="B10" s="12">
        <f>SUM(B4:B9)</f>
        <v/>
      </c>
      <c r="C10" s="12">
        <f>SUM(C4:C9)</f>
        <v/>
      </c>
      <c r="D10" s="12">
        <f>SUM(D4:D9)</f>
        <v/>
      </c>
      <c r="E10" s="12">
        <f>SUM(E4:E9)</f>
        <v/>
      </c>
      <c r="F10" s="12">
        <f>SUM(F4:F9)</f>
        <v/>
      </c>
      <c r="G10" s="12">
        <f>SUM(G4:G9)</f>
        <v/>
      </c>
    </row>
    <row r="11">
      <c r="A11" t="inlineStr">
        <is>
          <t>Growth</t>
        </is>
      </c>
      <c r="B11" s="13">
        <f>B10/SUM(Drivers!$B$29:$B$34)-1</f>
        <v/>
      </c>
      <c r="C11" s="13">
        <f>C10/B10-1</f>
        <v/>
      </c>
      <c r="D11" s="13">
        <f>D10/C10-1</f>
        <v/>
      </c>
      <c r="E11" s="13">
        <f>E10/D10-1</f>
        <v/>
      </c>
      <c r="F11" s="13">
        <f>F10/E10-1</f>
        <v/>
      </c>
      <c r="G11" s="13">
        <f>G10/F10-1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72% short-lived (6yr) / 28% long-lived (25yr),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2026E</t>
        </is>
      </c>
      <c r="C4" s="4" t="inlineStr">
        <is>
          <t>2027E</t>
        </is>
      </c>
      <c r="D4" s="4" t="inlineStr">
        <is>
          <t>2028E</t>
        </is>
      </c>
      <c r="E4" s="4" t="inlineStr">
        <is>
          <t>2029E</t>
        </is>
      </c>
      <c r="F4" s="4" t="inlineStr">
        <is>
          <t>2030E</t>
        </is>
      </c>
      <c r="G4" s="4" t="inlineStr">
        <is>
          <t>2031E</t>
        </is>
      </c>
    </row>
    <row r="5">
      <c r="A5" t="inlineStr">
        <is>
          <t>Capex ($)</t>
        </is>
      </c>
      <c r="B5" s="11">
        <f>Revenue!B10*Drivers!B$24</f>
        <v/>
      </c>
      <c r="C5" s="11">
        <f>Revenue!C10*Drivers!C$24</f>
        <v/>
      </c>
      <c r="D5" s="11">
        <f>Revenue!D10*Drivers!D$24</f>
        <v/>
      </c>
      <c r="E5" s="11">
        <f>Revenue!E10*Drivers!E$24</f>
        <v/>
      </c>
      <c r="F5" s="11">
        <f>Revenue!F10*Drivers!F$24</f>
        <v/>
      </c>
      <c r="G5" s="11">
        <f>Revenue!G10*Drivers!G$24</f>
        <v/>
      </c>
    </row>
    <row r="6">
      <c r="A6" s="5" t="inlineStr">
        <is>
          <t>D&amp;A ($) — modelled</t>
        </is>
      </c>
      <c r="B6" s="14" t="n">
        <v>43597760000</v>
      </c>
      <c r="C6" s="14" t="n">
        <v>67166527220.4815</v>
      </c>
      <c r="D6" s="14" t="n">
        <v>89578950728.81819</v>
      </c>
      <c r="E6" s="14" t="n">
        <v>110116998725.7823</v>
      </c>
      <c r="F6" s="14" t="n">
        <v>125825358123.9767</v>
      </c>
      <c r="G6" s="14" t="n">
        <v>134981751854.6299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B6/Revenue!B10</f>
        <v/>
      </c>
      <c r="C7" s="13">
        <f>C6/Revenue!C10</f>
        <v/>
      </c>
      <c r="D7" s="13">
        <f>D6/Revenue!D10</f>
        <v/>
      </c>
      <c r="E7" s="13">
        <f>E6/Revenue!E10</f>
        <v/>
      </c>
      <c r="F7" s="13">
        <f>F6/Revenue!F10</f>
        <v/>
      </c>
      <c r="G7" s="13">
        <f>G6/Revenue!G10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GOOGL — unlevered FCFF DCF, mid-year convention</t>
        </is>
      </c>
    </row>
    <row r="3">
      <c r="A3" s="3" t="inlineStr">
        <is>
          <t>Line</t>
        </is>
      </c>
      <c r="B3" s="4" t="inlineStr">
        <is>
          <t>2026E</t>
        </is>
      </c>
      <c r="C3" s="4" t="inlineStr">
        <is>
          <t>2027E</t>
        </is>
      </c>
      <c r="D3" s="4" t="inlineStr">
        <is>
          <t>2028E</t>
        </is>
      </c>
      <c r="E3" s="4" t="inlineStr">
        <is>
          <t>2029E</t>
        </is>
      </c>
      <c r="F3" s="4" t="inlineStr">
        <is>
          <t>2030E</t>
        </is>
      </c>
      <c r="G3" s="4" t="inlineStr">
        <is>
          <t>2031E</t>
        </is>
      </c>
    </row>
    <row r="4">
      <c r="A4" s="16" t="inlineStr">
        <is>
          <t>Revenue</t>
        </is>
      </c>
      <c r="B4" s="11">
        <f>Revenue!B10</f>
        <v/>
      </c>
      <c r="C4" s="11">
        <f>Revenue!C10</f>
        <v/>
      </c>
      <c r="D4" s="11">
        <f>Revenue!D10</f>
        <v/>
      </c>
      <c r="E4" s="11">
        <f>Revenue!E10</f>
        <v/>
      </c>
      <c r="F4" s="11">
        <f>Revenue!F10</f>
        <v/>
      </c>
      <c r="G4" s="11">
        <f>Revenue!G10</f>
        <v/>
      </c>
    </row>
    <row r="5">
      <c r="A5" s="16" t="inlineStr">
        <is>
          <t>EBITDA margin</t>
        </is>
      </c>
      <c r="B5" s="13">
        <f>Drivers!B$23</f>
        <v/>
      </c>
      <c r="C5" s="13">
        <f>Drivers!C$23</f>
        <v/>
      </c>
      <c r="D5" s="13">
        <f>Drivers!D$23</f>
        <v/>
      </c>
      <c r="E5" s="13">
        <f>Drivers!E$23</f>
        <v/>
      </c>
      <c r="F5" s="13">
        <f>Drivers!F$23</f>
        <v/>
      </c>
      <c r="G5" s="13">
        <f>Drivers!G$23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Drivers!B$25</f>
        <v/>
      </c>
      <c r="C10" s="13">
        <f>Drivers!C$25</f>
        <v/>
      </c>
      <c r="D10" s="13">
        <f>Drivers!D$25</f>
        <v/>
      </c>
      <c r="E10" s="13">
        <f>Drivers!E$25</f>
        <v/>
      </c>
      <c r="F10" s="13">
        <f>Drivers!F$25</f>
        <v/>
      </c>
      <c r="G10" s="13">
        <f>Drivers!G$25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B4*Drivers!B$26</f>
        <v/>
      </c>
      <c r="C13" s="11">
        <f>C4*Drivers!C$26</f>
        <v/>
      </c>
      <c r="D13" s="11">
        <f>D4*Drivers!D$26</f>
        <v/>
      </c>
      <c r="E13" s="11">
        <f>E4*Drivers!E$26</f>
        <v/>
      </c>
      <c r="F13" s="11">
        <f>F4*Drivers!F$26</f>
        <v/>
      </c>
      <c r="G13" s="11">
        <f>G4*Drivers!G$26</f>
        <v/>
      </c>
    </row>
    <row r="14">
      <c r="A14" s="16" t="inlineStr">
        <is>
          <t>Change in NWC</t>
        </is>
      </c>
      <c r="B14" s="11">
        <f>B13-SUM(Drivers!$B$29:$B$34)*Drivers!$B$26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1/(1+Drivers!$B$36)^(0+0.5)</f>
        <v/>
      </c>
      <c r="C16" s="17">
        <f>1/(1+Drivers!$B$36)^(1+0.5)</f>
        <v/>
      </c>
      <c r="D16" s="17">
        <f>1/(1+Drivers!$B$36)^(2+0.5)</f>
        <v/>
      </c>
      <c r="E16" s="17">
        <f>1/(1+Drivers!$B$36)^(3+0.5)</f>
        <v/>
      </c>
      <c r="F16" s="17">
        <f>1/(1+Drivers!$B$36)^(4+0.5)</f>
        <v/>
      </c>
      <c r="G16" s="17">
        <f>1/(1+Drivers!$B$36)^(5+0.5)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G15*(1+Drivers!$B$37)/(Drivers!$B$36-Drivers!$B$37)</f>
        <v/>
      </c>
    </row>
    <row r="21">
      <c r="A21" s="5" t="inlineStr">
        <is>
          <t>PV of terminal value</t>
        </is>
      </c>
      <c r="B21" s="11">
        <f>B20/(1+Drivers!$B$36)^(6-0.5)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Drivers!$B$39</f>
        <v/>
      </c>
    </row>
    <row r="24">
      <c r="A24" s="5" t="inlineStr">
        <is>
          <t>+ Equity investments</t>
        </is>
      </c>
      <c r="B24" s="11">
        <f>Drivers!$B$40</f>
        <v/>
      </c>
    </row>
    <row r="25">
      <c r="A25" s="5" t="inlineStr">
        <is>
          <t>- Debt</t>
        </is>
      </c>
      <c r="B25" s="11">
        <f>-Drivers!$B$41</f>
        <v/>
      </c>
    </row>
    <row r="26">
      <c r="A26" s="5" t="inlineStr">
        <is>
          <t>- Operating leases</t>
        </is>
      </c>
      <c r="B26" s="11">
        <f>-Drivers!$B$42</f>
        <v/>
      </c>
    </row>
    <row r="27">
      <c r="A27" s="5" t="inlineStr">
        <is>
          <t>- Preferred stock</t>
        </is>
      </c>
      <c r="B27" s="11">
        <f>-Drivers!$B$43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B28/Drivers!$B$38</f>
        <v/>
      </c>
    </row>
    <row r="30">
      <c r="A30" s="5" t="inlineStr">
        <is>
          <t>Spot price</t>
        </is>
      </c>
      <c r="B30" s="19">
        <f>Drivers!$B$44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Drivers!$B$36-Drivers!$B$37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2026-08-07.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2026</v>
      </c>
      <c r="B5" s="11" t="n">
        <v>491964957320.9999</v>
      </c>
      <c r="C5" s="11" t="n">
        <v>495359381557</v>
      </c>
      <c r="D5" s="11" t="n">
        <v>488997304016</v>
      </c>
      <c r="E5" s="11" t="n">
        <v>500792939672</v>
      </c>
      <c r="F5" s="13" t="n">
        <v>-0.006852447662000105</v>
      </c>
      <c r="G5" t="n">
        <v>36</v>
      </c>
      <c r="H5" t="inlineStr">
        <is>
          <t>yes</t>
        </is>
      </c>
    </row>
    <row r="6">
      <c r="A6" t="n">
        <v>2027</v>
      </c>
      <c r="B6" s="11" t="n">
        <v>568666386615.281</v>
      </c>
      <c r="C6" s="11" t="n">
        <v>606613875390</v>
      </c>
      <c r="D6" s="11" t="n">
        <v>574771304904</v>
      </c>
      <c r="E6" s="11" t="n">
        <v>654529255511</v>
      </c>
      <c r="F6" s="13" t="n">
        <v>-0.06255624922908676</v>
      </c>
      <c r="G6" t="n">
        <v>39</v>
      </c>
      <c r="H6" t="inlineStr">
        <is>
          <t>OUTSIDE</t>
        </is>
      </c>
    </row>
    <row r="7">
      <c r="A7" t="n">
        <v>2028</v>
      </c>
      <c r="B7" s="11" t="n">
        <v>644699243159.1138</v>
      </c>
      <c r="C7" s="11" t="n">
        <v>721625172376</v>
      </c>
      <c r="D7" s="11" t="n">
        <v>538737786017</v>
      </c>
      <c r="E7" s="11" t="n">
        <v>797028800359</v>
      </c>
      <c r="F7" s="13" t="n">
        <v>-0.1066009504125284</v>
      </c>
      <c r="G7" t="n">
        <v>37</v>
      </c>
      <c r="H7" t="inlineStr">
        <is>
          <t>yes</t>
        </is>
      </c>
    </row>
    <row r="8">
      <c r="A8" t="n">
        <v>2029</v>
      </c>
      <c r="B8" s="11" t="n">
        <v>721112771401.3099</v>
      </c>
      <c r="C8" s="11" t="n">
        <v>815730364847</v>
      </c>
      <c r="D8" s="11" t="n">
        <v>714345859869</v>
      </c>
      <c r="E8" s="11" t="n">
        <v>878987166090</v>
      </c>
      <c r="F8" s="13" t="n">
        <v>-0.1159912607439061</v>
      </c>
      <c r="G8" t="n">
        <v>23</v>
      </c>
      <c r="H8" t="inlineStr">
        <is>
          <t>yes</t>
        </is>
      </c>
    </row>
    <row r="9">
      <c r="A9" t="n">
        <v>2030</v>
      </c>
      <c r="B9" s="11" t="n">
        <v>798061880807.2632</v>
      </c>
      <c r="C9" s="11" t="n">
        <v>936258242857</v>
      </c>
      <c r="D9" s="11" t="n">
        <v>819893715344</v>
      </c>
      <c r="E9" s="11" t="n">
        <v>1008861524693</v>
      </c>
      <c r="F9" s="13" t="n">
        <v>-0.147604961669581</v>
      </c>
      <c r="G9" t="n">
        <v>33</v>
      </c>
      <c r="H9" t="inlineStr">
        <is>
          <t>OUTSIDE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GOOGL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105.4827056898842</v>
      </c>
      <c r="C4" s="13" t="n">
        <v>0.25</v>
      </c>
      <c r="D4" s="13">
        <f>B4/Valuation!B30-1</f>
        <v/>
      </c>
      <c r="E4" t="inlineStr">
        <is>
          <t>consensus dispersion</t>
        </is>
      </c>
    </row>
    <row r="5">
      <c r="A5" t="inlineStr">
        <is>
          <t>Base</t>
        </is>
      </c>
      <c r="B5" s="19" t="n">
        <v>186.742974967021</v>
      </c>
      <c r="C5" s="13" t="n">
        <v>0.45</v>
      </c>
      <c r="D5" s="13">
        <f>B5/Valuation!B30-1</f>
        <v/>
      </c>
      <c r="E5" t="inlineStr">
        <is>
          <t>judgment</t>
        </is>
      </c>
    </row>
    <row r="6">
      <c r="A6" t="inlineStr">
        <is>
          <t>Bull</t>
        </is>
      </c>
      <c r="B6" s="19" t="n">
        <v>433.1807537628952</v>
      </c>
      <c r="C6" s="13" t="n">
        <v>0.3</v>
      </c>
      <c r="D6" s="13">
        <f>B6/Valuation!B30-1</f>
        <v/>
      </c>
      <c r="E6" t="inlineStr">
        <is>
          <t>consensus dispersion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SHORT</t>
        </is>
      </c>
    </row>
    <row r="10">
      <c r="A10" s="16" t="inlineStr">
        <is>
          <t>Risk / reward</t>
        </is>
      </c>
      <c r="B10" s="22" t="n">
        <v>1.442610480456658</v>
      </c>
      <c r="E10" s="2" t="inlineStr">
        <is>
          <t>short framing</t>
        </is>
      </c>
    </row>
    <row r="11">
      <c r="A11" s="16" t="inlineStr">
        <is>
          <t>Payoff ratio b</t>
        </is>
      </c>
      <c r="B11" s="22" t="n">
        <v>1.442610480456658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0.4920436569232222</v>
      </c>
      <c r="E13" s="2" t="inlineStr"/>
    </row>
    <row r="14">
      <c r="A14" s="16" t="inlineStr">
        <is>
          <t>Quarter-Kelly</t>
        </is>
      </c>
      <c r="B14" s="13" t="n">
        <v>0.1230109142308056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11.96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0.06731123971731789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0.05</v>
      </c>
      <c r="E18" s="2" t="inlineStr">
        <is>
          <t>binding: concentration cap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2026-06-30, all statement inputs from SEC XBRL companyconcept (CIK 0001652044).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2026-08-07.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YEAR-1 CAPEX ANCHOR. Management guided full-year capex to $195-205bn (Q2 2026 earnings call, 22 July 2026 (CFO Anat Ashkenazi)); the base case takes the midpoint, $200.0bn, against $80.6bn already reported. Holding the exit quarter flat instead would give $170.4bn, below the guided range. Guidance outranks extrapolation for a period management has guided.</t>
        </is>
      </c>
    </row>
    <row r="9">
      <c r="A9" s="24" t="inlineStr"/>
    </row>
    <row r="10">
      <c r="A10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11">
      <c r="A11" s="24" t="inlineStr"/>
    </row>
    <row r="12">
      <c r="A12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3">
      <c r="A13" s="24" t="inlineStr"/>
    </row>
    <row r="14">
      <c r="A14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2026-08-07T21:10:30Z</dcterms:created>
  <dcterms:modified xsi:type="dcterms:W3CDTF">2026-08-07T21:10:30Z</dcterms:modified>
</cp:coreProperties>
</file>