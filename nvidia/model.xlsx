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f05d5ff71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edd6cb3dd434a33"/>
    <x:sheet xmlns:r="http://schemas.openxmlformats.org/officeDocument/2006/relationships" name="Review" sheetId="2" r:id="Rf4b92698fe1a4d4f"/>
    <x:sheet xmlns:r="http://schemas.openxmlformats.org/officeDocument/2006/relationships" name="Sources" sheetId="3" r:id="Reea2600ae8d640a7"/>
    <x:sheet xmlns:r="http://schemas.openxmlformats.org/officeDocument/2006/relationships" name="Drivers" sheetId="4" r:id="R8e4575a01da74aa3"/>
    <x:sheet xmlns:r="http://schemas.openxmlformats.org/officeDocument/2006/relationships" name="WACC" sheetId="5" r:id="Rbe456dc176904273"/>
    <x:sheet xmlns:r="http://schemas.openxmlformats.org/officeDocument/2006/relationships" name="Revenue" sheetId="6" r:id="Ra059bcc3fd894828"/>
    <x:sheet xmlns:r="http://schemas.openxmlformats.org/officeDocument/2006/relationships" name="Depreciation" sheetId="7" r:id="R64cfb0cbc1aa4313"/>
    <x:sheet xmlns:r="http://schemas.openxmlformats.org/officeDocument/2006/relationships" name="Equity Bridge" sheetId="8" r:id="R6ae6429c029d4eba"/>
    <x:sheet xmlns:r="http://schemas.openxmlformats.org/officeDocument/2006/relationships" name="Valuation" sheetId="9" r:id="R75c07c8afade41bd"/>
    <x:sheet xmlns:r="http://schemas.openxmlformats.org/officeDocument/2006/relationships" name="Scenarios" sheetId="10" r:id="Rde02d8f1b9a343e6"/>
    <x:sheet xmlns:r="http://schemas.openxmlformats.org/officeDocument/2006/relationships" name="Reverse DCF" sheetId="11" r:id="R1ac3f071f52a400d"/>
    <x:sheet xmlns:r="http://schemas.openxmlformats.org/officeDocument/2006/relationships" name="Sensitivities" sheetId="12" r:id="R71f4170b677642d8"/>
    <x:sheet xmlns:r="http://schemas.openxmlformats.org/officeDocument/2006/relationships" name="Decision" sheetId="13" r:id="R46ea50023ace4f79"/>
    <x:sheet xmlns:r="http://schemas.openxmlformats.org/officeDocument/2006/relationships" name="Checks" sheetId="14" r:id="R8227c5783c7b4a60"/>
    <x:sheet xmlns:r="http://schemas.openxmlformats.org/officeDocument/2006/relationships" name="Notes" sheetId="15" r:id="Rcdc77985d8f8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$#,##0.00;[Red]($#,##0.00);-"/>
    <x:numFmt numFmtId="201" formatCode="0.0%"/>
    <x:numFmt numFmtId="202" formatCode="0"/>
    <x:numFmt numFmtId="203" formatCode="$#,##0.0;[Red]($#,##0.0);-"/>
    <x:numFmt numFmtId="204" formatCode="0.0%;[Red](0.0%);-"/>
    <x:numFmt numFmtId="205" formatCode="0.00x"/>
    <x:numFmt numFmtId="206" formatCode="0.00"/>
    <x:numFmt numFmtId="207" formatCode="0.00%;[Red](0.00%);-"/>
    <x:numFmt numFmtId="208" formatCode="&quot;FY&quot;0"/>
    <x:numFmt numFmtId="209" formatCode="0.000x"/>
    <x:numFmt numFmtId="210" formatCode="0.000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26B78"/>
      <x:name val="Carlito"/>
    </x:font>
    <x:font>
      <x:b/>
      <x:sz val="20"/>
      <x:color rgb="FFFFFFFF"/>
      <x:name val="Carlito"/>
    </x:font>
    <x:font>
      <x:b/>
      <x:sz val="11"/>
      <x:color rgb="FF163A5F"/>
      <x:name val="Carlito"/>
    </x:font>
    <x:font>
      <x:sz val="12"/>
      <x:color rgb="FF151923"/>
      <x:name val="Carlito"/>
    </x:font>
    <x:font>
      <x:b/>
      <x:sz val="10"/>
      <x:color rgb="FFFFFFFF"/>
      <x:name val="Carlito"/>
    </x:font>
    <x:font>
      <x:b/>
      <x:sz val="9"/>
      <x:color rgb="FF151923"/>
      <x:name val="Carlito"/>
    </x:font>
    <x:font>
      <x:b/>
      <x:sz val="11"/>
      <x:color rgb="FF0B6B68"/>
      <x:name val="Carlito"/>
    </x:font>
    <x:font>
      <x:sz val="11"/>
      <x:color rgb="FF1F5F99"/>
      <x:name val="Carlito"/>
    </x:font>
    <x:font>
      <x:sz val="11"/>
      <x:color rgb="FF0B6B68"/>
      <x:name val="Carlito"/>
    </x:font>
    <x:font>
      <x:b/>
      <x:sz val="11"/>
      <x:color rgb="FFFFFFFF"/>
      <x:name val="Carlito"/>
    </x:font>
    <x:font>
      <x:b/>
      <x:sz val="11"/>
      <x:color rgb="FFA63D4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EF2F5"/>
      </x:patternFill>
    </x:fill>
    <x:fill>
      <x:patternFill patternType="solid">
        <x:fgColor rgb="FF0B6B68"/>
      </x:patternFill>
    </x:fill>
    <x:fill>
      <x:patternFill patternType="solid">
        <x:fgColor rgb="FFEAF4F3"/>
      </x:patternFill>
    </x:fill>
    <x:fill>
      <x:patternFill patternType="solid">
        <x:fgColor rgb="FFF3F7FA"/>
      </x:patternFill>
    </x:fill>
    <x:fill>
      <x:patternFill patternType="solid">
        <x:fgColor rgb="FFF6ECEC"/>
      </x:patternFill>
    </x:fill>
  </x:fills>
  <x:borders count="2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9" fillId="5" borderId="0" xfId="0" applyNumberFormat="1" applyFont="1" applyFill="1" applyBorder="1"/>
    <x:xf numFmtId="0" fontId="10" fillId="5" borderId="0" xfId="0" applyNumberFormat="1" applyFont="1" applyFill="1" applyBorder="1"/>
    <x:xf numFmtId="203" fontId="9" fillId="6" borderId="0" xfId="0" applyNumberFormat="1" applyFont="1" applyFill="1" applyBorder="1"/>
    <x:xf numFmtId="203" fontId="10" fillId="5" borderId="0" xfId="0" applyNumberFormat="1" applyFont="1" applyFill="1" applyBorder="1"/>
    <x:xf numFmtId="204" fontId="9" fillId="6" borderId="0" xfId="0" applyNumberFormat="1" applyFont="1" applyFill="1" applyBorder="1"/>
    <x:xf numFmtId="205" fontId="9" fillId="6" borderId="0" xfId="0" applyNumberFormat="1" applyFont="1" applyFill="1" applyBorder="1"/>
    <x:xf numFmtId="206" fontId="9" fillId="6" borderId="0" xfId="0" applyNumberFormat="1" applyFont="1" applyFill="1" applyBorder="1"/>
    <x:xf numFmtId="203" fontId="9" fillId="6" borderId="0" xfId="0" applyNumberFormat="1" applyFont="1" applyFill="1" applyBorder="1" applyAlignment="1">
      <x:alignment wrapText="1"/>
    </x:xf>
    <x:xf numFmtId="203" fontId="10" fillId="5" borderId="0" xfId="0" applyNumberFormat="1" applyFont="1" applyFill="1" applyBorder="1" applyAlignment="1">
      <x:alignment wrapText="1"/>
    </x:xf>
    <x:xf numFmtId="204" fontId="9" fillId="6" borderId="0" xfId="0" applyNumberFormat="1" applyFont="1" applyFill="1" applyBorder="1" applyAlignment="1">
      <x:alignment wrapText="1"/>
    </x:xf>
    <x:xf numFmtId="205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206" fontId="9" fillId="6" borderId="0" xfId="0" applyNumberFormat="1" applyFont="1" applyFill="1" applyBorder="1" applyAlignment="1">
      <x:alignment wrapText="1"/>
    </x:xf>
    <x:xf numFmtId="203" fontId="9" fillId="6" borderId="1" xfId="0" applyNumberFormat="1" applyFont="1" applyFill="1" applyBorder="1" applyAlignment="1">
      <x:alignment wrapText="1"/>
    </x:xf>
    <x:xf numFmtId="203" fontId="10" fillId="5" borderId="1" xfId="0" applyNumberFormat="1" applyFont="1" applyFill="1" applyBorder="1" applyAlignment="1">
      <x:alignment wrapText="1"/>
    </x:xf>
    <x:xf numFmtId="204" fontId="9" fillId="6" borderId="1" xfId="0" applyNumberFormat="1" applyFont="1" applyFill="1" applyBorder="1" applyAlignment="1">
      <x:alignment wrapText="1"/>
    </x:xf>
    <x:xf numFmtId="205" fontId="9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206" fontId="9" fillId="6" borderId="1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207" fontId="0" fillId="5" borderId="0" xfId="0" applyNumberFormat="1" applyFont="1" applyFill="1" applyBorder="1"/>
    <x:xf numFmtId="207" fontId="8" fillId="5" borderId="0" xfId="0" applyNumberFormat="1" applyFont="1" applyFill="1" applyBorder="1"/>
    <x:xf numFmtId="207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7" fontId="8" fillId="5" borderId="0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7" fontId="8" fillId="5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203" fontId="9" fillId="6" borderId="1" xfId="0" applyNumberFormat="1" applyFont="1" applyFill="1" applyBorder="1"/>
    <x:xf numFmtId="204" fontId="9" fillId="6" borderId="1" xfId="0" applyNumberFormat="1" applyFont="1" applyFill="1" applyBorder="1"/>
    <x:xf numFmtId="0" fontId="11" fillId="4" borderId="0" xfId="0" applyNumberFormat="1" applyFont="1" applyFill="1" applyBorder="1"/>
    <x:xf numFmtId="204" fontId="0" fillId="0" borderId="0" xfId="0" applyNumberFormat="1" applyFont="1" applyFill="1" applyBorder="1"/>
    <x:xf numFmtId="204" fontId="9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5" borderId="0" xfId="0" applyNumberFormat="1" applyFont="1" applyFill="1" applyBorder="1"/>
    <x:xf numFmtId="204" fontId="0" fillId="5" borderId="0" xfId="0" applyNumberFormat="1" applyFont="1" applyFill="1" applyBorder="1"/>
    <x:xf numFmtId="203" fontId="8" fillId="5" borderId="0" xfId="0" applyNumberFormat="1" applyFont="1" applyFill="1" applyBorder="1"/>
    <x:xf numFmtId="204" fontId="8" fillId="5" borderId="0" xfId="0" applyNumberFormat="1" applyFont="1" applyFill="1" applyBorder="1"/>
    <x:xf numFmtId="203" fontId="8" fillId="5" borderId="0" xfId="0" applyNumberFormat="1" applyFont="1" applyFill="1" applyBorder="1" applyAlignment="1">
      <x:alignment wrapText="1"/>
    </x:xf>
    <x:xf numFmtId="204" fontId="8" fillId="5" borderId="0" xfId="0" applyNumberFormat="1" applyFont="1" applyFill="1" applyBorder="1" applyAlignment="1">
      <x:alignment wrapText="1"/>
    </x:xf>
    <x:xf numFmtId="203" fontId="8" fillId="5" borderId="1" xfId="0" applyNumberFormat="1" applyFont="1" applyFill="1" applyBorder="1" applyAlignment="1">
      <x:alignment wrapText="1"/>
    </x:xf>
    <x:xf numFmtId="204" fontId="8" fillId="5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0" fontId="8" fillId="5" borderId="1" xfId="0" applyNumberFormat="1" applyFont="1" applyFill="1" applyBorder="1"/>
    <x:xf numFmtId="203" fontId="8" fillId="5" borderId="1" xfId="0" applyNumberFormat="1" applyFont="1" applyFill="1" applyBorder="1"/>
    <x:xf numFmtId="206" fontId="0" fillId="0" borderId="0" xfId="0" applyNumberFormat="1" applyFont="1" applyFill="1" applyBorder="1"/>
    <x:xf numFmtId="209" fontId="0" fillId="0" borderId="0" xfId="0" applyNumberFormat="1" applyFont="1" applyFill="1" applyBorder="1"/>
    <x:xf numFmtId="206" fontId="0" fillId="0" borderId="1" xfId="0" applyNumberFormat="1" applyFont="1" applyFill="1" applyBorder="1"/>
    <x:xf numFmtId="209" fontId="0" fillId="0" borderId="1" xfId="0" applyNumberFormat="1" applyFont="1" applyFill="1" applyBorder="1"/>
    <x:xf numFmtId="210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8" fillId="5" borderId="0" xfId="0" applyNumberFormat="1" applyFont="1" applyFill="1" applyBorder="1"/>
    <x:xf numFmtId="210" fontId="0" fillId="0" borderId="1" xfId="0" applyNumberFormat="1" applyFont="1" applyFill="1" applyBorder="1"/>
    <x:xf numFmtId="200" fontId="8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7" fontId="9" fillId="0" borderId="0" xfId="0" applyNumberFormat="1" applyFont="1" applyFill="1" applyBorder="1"/>
    <x:xf numFmtId="207" fontId="9" fillId="6" borderId="0" xfId="0" applyNumberFormat="1" applyFont="1" applyFill="1" applyBorder="1"/>
    <x:xf numFmtId="209" fontId="9" fillId="0" borderId="0" xfId="0" applyNumberFormat="1" applyFont="1" applyFill="1" applyBorder="1"/>
    <x:xf numFmtId="203" fontId="9" fillId="0" borderId="0" xfId="0" applyNumberFormat="1" applyFont="1" applyFill="1" applyBorder="1"/>
    <x:xf numFmtId="209" fontId="9" fillId="6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7" fontId="9" fillId="6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9" fontId="9" fillId="6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7" fontId="9" fillId="6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9" fontId="9" fillId="6" borderId="1" xfId="0" applyNumberFormat="1" applyFont="1" applyFill="1" applyBorder="1" applyAlignment="1">
      <x:alignment wrapText="1"/>
    </x:xf>
    <x:xf numFmtId="204" fontId="7" fillId="3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/>
    <x:xf numFmtId="201" fontId="8" fillId="5" borderId="0" xfId="0" applyNumberFormat="1" applyFont="1" applyFill="1" applyBorder="1"/>
    <x:xf numFmtId="202" fontId="0" fillId="0" borderId="1" xfId="0" applyNumberFormat="1" applyFont="1" applyFill="1" applyBorder="1"/>
    <x:xf numFmtId="201" fontId="8" fillId="5" borderId="1" xfId="0" applyNumberFormat="1" applyFont="1" applyFill="1" applyBorder="1"/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wrapText="1"/>
    </x:xf>
    <x:xf numFmtId="202" fontId="0" fillId="3" borderId="0" xfId="0" applyNumberFormat="1" applyFont="1" applyFill="1" applyBorder="1"/>
    <x:xf numFmtId="0" fontId="13" fillId="3" borderId="0" xfId="0" applyNumberFormat="1" applyFont="1" applyFill="1" applyBorder="1"/>
    <x:xf numFmtId="202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202" fontId="13" fillId="3" borderId="0" xfId="0" applyNumberFormat="1" applyFont="1" applyFill="1" applyBorder="1" applyAlignment="1">
      <x:alignment wrapText="1"/>
    </x:xf>
    <x:xf numFmtId="0" fontId="13" fillId="3" borderId="1" xfId="0" applyNumberFormat="1" applyFont="1" applyFill="1" applyBorder="1" applyAlignment="1">
      <x:alignment wrapText="1"/>
    </x:xf>
    <x:xf numFmtId="202" fontId="1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2990e700440e5" /><Relationship Type="http://schemas.openxmlformats.org/officeDocument/2006/relationships/theme" Target="/xl/theme/theme1.xml" Id="R1dd4c3139ce841b5" /><Relationship Type="http://schemas.openxmlformats.org/officeDocument/2006/relationships/sharedStrings" Target="/xl/sharedStrings.xml" Id="R9ed7bad38e964840" /><Relationship Type="http://schemas.openxmlformats.org/officeDocument/2006/relationships/worksheet" Target="/xl/worksheets/sheet1.xml" Id="R9edd6cb3dd434a33" /><Relationship Type="http://schemas.openxmlformats.org/officeDocument/2006/relationships/worksheet" Target="/xl/worksheets/sheet2.xml" Id="Rf4b92698fe1a4d4f" /><Relationship Type="http://schemas.openxmlformats.org/officeDocument/2006/relationships/worksheet" Target="/xl/worksheets/sheet3.xml" Id="Reea2600ae8d640a7" /><Relationship Type="http://schemas.openxmlformats.org/officeDocument/2006/relationships/worksheet" Target="/xl/worksheets/sheet4.xml" Id="R8e4575a01da74aa3" /><Relationship Type="http://schemas.openxmlformats.org/officeDocument/2006/relationships/worksheet" Target="/xl/worksheets/sheet5.xml" Id="Rbe456dc176904273" /><Relationship Type="http://schemas.openxmlformats.org/officeDocument/2006/relationships/worksheet" Target="/xl/worksheets/sheet6.xml" Id="Ra059bcc3fd894828" /><Relationship Type="http://schemas.openxmlformats.org/officeDocument/2006/relationships/worksheet" Target="/xl/worksheets/sheet7.xml" Id="R64cfb0cbc1aa4313" /><Relationship Type="http://schemas.openxmlformats.org/officeDocument/2006/relationships/worksheet" Target="/xl/worksheets/sheet8.xml" Id="R6ae6429c029d4eba" /><Relationship Type="http://schemas.openxmlformats.org/officeDocument/2006/relationships/worksheet" Target="/xl/worksheets/sheet9.xml" Id="R75c07c8afade41bd" /><Relationship Type="http://schemas.openxmlformats.org/officeDocument/2006/relationships/worksheet" Target="/xl/worksheets/sheet10.xml" Id="Rde02d8f1b9a343e6" /><Relationship Type="http://schemas.openxmlformats.org/officeDocument/2006/relationships/worksheet" Target="/xl/worksheets/sheet11.xml" Id="R1ac3f071f52a400d" /><Relationship Type="http://schemas.openxmlformats.org/officeDocument/2006/relationships/worksheet" Target="/xl/worksheets/sheet12.xml" Id="R71f4170b677642d8" /><Relationship Type="http://schemas.openxmlformats.org/officeDocument/2006/relationships/worksheet" Target="/xl/worksheets/sheet13.xml" Id="R46ea50023ace4f79" /><Relationship Type="http://schemas.openxmlformats.org/officeDocument/2006/relationships/worksheet" Target="/xl/worksheets/sheet14.xml" Id="R8227c5783c7b4a60" /><Relationship Type="http://schemas.openxmlformats.org/officeDocument/2006/relationships/worksheet" Target="/xl/worksheets/sheet15.xml" Id="Rcdc77985d8f843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7" hidden="0" customWidth="1"/>
    <x:col min="4" max="4" width="25" hidden="0" customWidth="1"/>
    <x:col min="5" max="5" width="17" hidden="0" customWidth="1"/>
    <x:col min="6" max="6" width="25" hidden="0" customWidth="1"/>
    <x:col min="7" max="7" width="17" hidden="0" customWidth="1"/>
    <x:col min="8" max="8" width="25" hidden="0" customWidth="1"/>
    <x:col min="9" max="9" width="17" hidden="0" customWidth="1"/>
    <x:col min="10" max="10" width="25" hidden="0" customWidth="1"/>
  </x:cols>
  <x:sheetData>
    <x:row r="1" ht="21.600000381469727" hidden="0" customHeight="1">
      <x:c r="A1" s="2" t="str">
        <x:v>NVIDIA | PM review model</x:v>
      </x:c>
      <x:c r="B1" s="2" t="str">
        <x:v>NVIDIA | PM review model</x:v>
      </x:c>
      <x:c r="C1" s="2" t="str">
        <x:v>NVIDIA | PM review model</x:v>
      </x:c>
      <x:c r="D1" s="2" t="str">
        <x:v>NVIDIA | PM review model</x:v>
      </x:c>
      <x:c r="E1" s="2" t="str">
        <x:v>NVIDIA | PM review model</x:v>
      </x:c>
      <x:c r="F1" s="2" t="str">
        <x:v>NVIDIA | PM review model</x:v>
      </x:c>
      <x:c r="G1" s="2" t="str">
        <x:v>NVIDIA | PM review model</x:v>
      </x:c>
      <x:c r="H1" s="2" t="str">
        <x:v>NVIDIA | PM review model</x:v>
      </x:c>
      <x:c r="I1" s="2" t="str">
        <x:v>NVIDIA | PM review model</x:v>
      </x:c>
      <x:c r="J1" s="2" t="str">
        <x:v>NVIDIA | PM review model</x:v>
      </x:c>
    </x:row>
    <x:row r="2" ht="15" hidden="0" customHeight="1">
      <x:c r="A2" s="5" t="str">
        <x:v>Public-information risk frame | Market cut 2026-08-07 | Share-ready, not capital-ready</x:v>
      </x:c>
      <x:c r="B2" s="5" t="str">
        <x:v>Public-information risk frame | Market cut 2026-08-07 | Share-ready, not capital-ready</x:v>
      </x:c>
      <x:c r="C2" s="5" t="str">
        <x:v>Public-information risk frame | Market cut 2026-08-07 | Share-ready, not capital-ready</x:v>
      </x:c>
      <x:c r="D2" s="5" t="str">
        <x:v>Public-information risk frame | Market cut 2026-08-07 | Share-ready, not capital-ready</x:v>
      </x:c>
      <x:c r="E2" s="5" t="str">
        <x:v>Public-information risk frame | Market cut 2026-08-07 | Share-ready, not capital-ready</x:v>
      </x:c>
      <x:c r="F2" s="5" t="str">
        <x:v>Public-information risk frame | Market cut 2026-08-07 | Share-ready, not capital-ready</x:v>
      </x:c>
      <x:c r="G2" s="5" t="str">
        <x:v>Public-information risk frame | Market cut 2026-08-07 | Share-ready, not capital-ready</x:v>
      </x:c>
      <x:c r="H2" s="5" t="str">
        <x:v>Public-information risk frame | Market cut 2026-08-07 | Share-ready, not capital-ready</x:v>
      </x:c>
      <x:c r="I2" s="5" t="str">
        <x:v>Public-information risk frame | Market cut 2026-08-07 | Share-ready, not capital-ready</x:v>
      </x:c>
      <x:c r="J2" s="5" t="str">
        <x:v>Public-information risk frame | Market cut 2026-08-07 | Share-ready, not capital-ready</x:v>
      </x:c>
    </x:row>
    <x:row r="3"/>
    <x:row r="4" ht="24" hidden="0" customHeight="1">
      <x:c r="A4" s="7" t="str">
        <x:v>WATCHLIST / NO POSITION</x:v>
      </x:c>
      <x:c r="B4" s="7" t="str">
        <x:v>WATCHLIST / NO POSITION</x:v>
      </x:c>
      <x:c r="C4" s="7" t="str">
        <x:v>WATCHLIST / NO POSITION</x:v>
      </x:c>
      <x:c r="D4" s="7" t="str">
        <x:v>WATCHLIST / NO POSITION</x:v>
      </x:c>
      <x:c r="E4" s="7" t="str">
        <x:v>WATCHLIST / NO POSITION</x:v>
      </x:c>
      <x:c r="F4" s="7" t="str">
        <x:v>WATCHLIST / NO POSITION</x:v>
      </x:c>
      <x:c r="G4" s="7" t="str">
        <x:v>WATCHLIST / NO POSITION</x:v>
      </x:c>
      <x:c r="H4" s="7" t="str">
        <x:v>WATCHLIST / NO POSITION</x:v>
      </x:c>
      <x:c r="I4" s="7" t="str">
        <x:v>WATCHLIST / NO POSITION</x:v>
      </x:c>
      <x:c r="J4" s="7" t="str">
        <x:v>WATCHLIST / NO POSITION</x:v>
      </x:c>
    </x:row>
    <x:row r="5"/>
    <x:row r="6" ht="15" hidden="0" customHeight="1">
      <x:c r="A6" s="10" t="str">
        <x:v>Spot</x:v>
      </x:c>
      <x:c r="B6" s="11" t="n">
        <x:f>Decision!B5</x:f>
        <x:v>223.9</x:v>
      </x:c>
      <x:c r="D6" s="17" t="str">
        <x:v>PM call</x:v>
      </x:c>
      <x:c r="E6" s="17" t="str">
        <x:v>PM call</x:v>
      </x:c>
      <x:c r="F6" s="17" t="str">
        <x:v>PM call</x:v>
      </x:c>
      <x:c r="G6" s="17" t="str">
        <x:v>PM call</x:v>
      </x:c>
      <x:c r="H6" s="17" t="str">
        <x:v>PM call</x:v>
      </x:c>
      <x:c r="I6" s="17" t="str">
        <x:v>PM call</x:v>
      </x:c>
      <x:c r="J6" s="17" t="str">
        <x:v>PM call</x:v>
      </x:c>
    </x:row>
    <x:row r="7" ht="15" hidden="0" customHeight="1">
      <x:c r="A7" s="10" t="str">
        <x:v>Bear value</x:v>
      </x:c>
      <x:c r="B7" s="11" t="n">
        <x:f>Decision!B6</x:f>
        <x:v>57.21970990409426</x:v>
      </x:c>
      <x:c r="D7" s="18" t="str">
        <x:v>Do not force a trade. The business is exceptional, but no verified near-term variant exists. The base DCF is below spot, the bull state is uncapped, and every capital gate remains open.</x:v>
      </x:c>
      <x:c r="E7" s="18" t="str">
        <x:v>Do not force a trade. The business is exceptional, but no verified near-term variant exists. The base DCF is below spot, the bull state is uncapped, and every capital gate remains open.</x:v>
      </x:c>
      <x:c r="F7" s="18" t="str">
        <x:v>Do not force a trade. The business is exceptional, but no verified near-term variant exists. The base DCF is below spot, the bull state is uncapped, and every capital gate remains open.</x:v>
      </x:c>
      <x:c r="G7" s="18" t="str">
        <x:v>Do not force a trade. The business is exceptional, but no verified near-term variant exists. The base DCF is below spot, the bull state is uncapped, and every capital gate remains open.</x:v>
      </x:c>
      <x:c r="H7" s="18" t="str">
        <x:v>Do not force a trade. The business is exceptional, but no verified near-term variant exists. The base DCF is below spot, the bull state is uncapped, and every capital gate remains open.</x:v>
      </x:c>
      <x:c r="I7" s="18" t="str">
        <x:v>Do not force a trade. The business is exceptional, but no verified near-term variant exists. The base DCF is below spot, the bull state is uncapped, and every capital gate remains open.</x:v>
      </x:c>
      <x:c r="J7" s="18" t="str">
        <x:v>Do not force a trade. The business is exceptional, but no verified near-term variant exists. The base DCF is below spot, the bull state is uncapped, and every capital gate remains open.</x:v>
      </x:c>
    </x:row>
    <x:row r="8" ht="15" hidden="0" customHeight="1">
      <x:c r="A8" s="10" t="str">
        <x:v>Base value</x:v>
      </x:c>
      <x:c r="B8" s="11" t="n">
        <x:f>Decision!B7</x:f>
        <x:v>165.39724902118806</x:v>
      </x:c>
      <x:c r="D8" s="18" t="str">
        <x:v>Do not force a trade. The business is exceptional, but no verified near-term variant exists. The base DCF is below spot, the bull state is uncapped, and every capital gate remains open.</x:v>
      </x:c>
      <x:c r="E8" s="18" t="str">
        <x:v>Do not force a trade. The business is exceptional, but no verified near-term variant exists. The base DCF is below spot, the bull state is uncapped, and every capital gate remains open.</x:v>
      </x:c>
      <x:c r="F8" s="18" t="str">
        <x:v>Do not force a trade. The business is exceptional, but no verified near-term variant exists. The base DCF is below spot, the bull state is uncapped, and every capital gate remains open.</x:v>
      </x:c>
      <x:c r="G8" s="18" t="str">
        <x:v>Do not force a trade. The business is exceptional, but no verified near-term variant exists. The base DCF is below spot, the bull state is uncapped, and every capital gate remains open.</x:v>
      </x:c>
      <x:c r="H8" s="18" t="str">
        <x:v>Do not force a trade. The business is exceptional, but no verified near-term variant exists. The base DCF is below spot, the bull state is uncapped, and every capital gate remains open.</x:v>
      </x:c>
      <x:c r="I8" s="18" t="str">
        <x:v>Do not force a trade. The business is exceptional, but no verified near-term variant exists. The base DCF is below spot, the bull state is uncapped, and every capital gate remains open.</x:v>
      </x:c>
      <x:c r="J8" s="18" t="str">
        <x:v>Do not force a trade. The business is exceptional, but no verified near-term variant exists. The base DCF is below spot, the bull state is uncapped, and every capital gate remains open.</x:v>
      </x:c>
    </x:row>
    <x:row r="9" ht="15" hidden="0" customHeight="1">
      <x:c r="A9" s="10" t="str">
        <x:v>Bull value</x:v>
      </x:c>
      <x:c r="B9" s="11" t="n">
        <x:f>Decision!B8</x:f>
        <x:v>377.6780066260527</x:v>
      </x:c>
      <x:c r="D9" s="18" t="str">
        <x:v>Do not force a trade. The business is exceptional, but no verified near-term variant exists. The base DCF is below spot, the bull state is uncapped, and every capital gate remains open.</x:v>
      </x:c>
      <x:c r="E9" s="18" t="str">
        <x:v>Do not force a trade. The business is exceptional, but no verified near-term variant exists. The base DCF is below spot, the bull state is uncapped, and every capital gate remains open.</x:v>
      </x:c>
      <x:c r="F9" s="18" t="str">
        <x:v>Do not force a trade. The business is exceptional, but no verified near-term variant exists. The base DCF is below spot, the bull state is uncapped, and every capital gate remains open.</x:v>
      </x:c>
      <x:c r="G9" s="18" t="str">
        <x:v>Do not force a trade. The business is exceptional, but no verified near-term variant exists. The base DCF is below spot, the bull state is uncapped, and every capital gate remains open.</x:v>
      </x:c>
      <x:c r="H9" s="18" t="str">
        <x:v>Do not force a trade. The business is exceptional, but no verified near-term variant exists. The base DCF is below spot, the bull state is uncapped, and every capital gate remains open.</x:v>
      </x:c>
      <x:c r="I9" s="18" t="str">
        <x:v>Do not force a trade. The business is exceptional, but no verified near-term variant exists. The base DCF is below spot, the bull state is uncapped, and every capital gate remains open.</x:v>
      </x:c>
      <x:c r="J9" s="18" t="str">
        <x:v>Do not force a trade. The business is exceptional, but no verified near-term variant exists. The base DCF is below spot, the bull state is uncapped, and every capital gate remains open.</x:v>
      </x:c>
    </x:row>
    <x:row r="10" ht="15" hidden="0" customHeight="1">
      <x:c r="A10" s="10" t="str">
        <x:v>Position size</x:v>
      </x:c>
      <x:c r="B10" s="12" t="n">
        <x:f>Decision!B13</x:f>
        <x:v>0</x:v>
      </x:c>
      <x:c r="D10" s="18" t="str">
        <x:v>Do not force a trade. The business is exceptional, but no verified near-term variant exists. The base DCF is below spot, the bull state is uncapped, and every capital gate remains open.</x:v>
      </x:c>
      <x:c r="E10" s="18" t="str">
        <x:v>Do not force a trade. The business is exceptional, but no verified near-term variant exists. The base DCF is below spot, the bull state is uncapped, and every capital gate remains open.</x:v>
      </x:c>
      <x:c r="F10" s="18" t="str">
        <x:v>Do not force a trade. The business is exceptional, but no verified near-term variant exists. The base DCF is below spot, the bull state is uncapped, and every capital gate remains open.</x:v>
      </x:c>
      <x:c r="G10" s="18" t="str">
        <x:v>Do not force a trade. The business is exceptional, but no verified near-term variant exists. The base DCF is below spot, the bull state is uncapped, and every capital gate remains open.</x:v>
      </x:c>
      <x:c r="H10" s="18" t="str">
        <x:v>Do not force a trade. The business is exceptional, but no verified near-term variant exists. The base DCF is below spot, the bull state is uncapped, and every capital gate remains open.</x:v>
      </x:c>
      <x:c r="I10" s="18" t="str">
        <x:v>Do not force a trade. The business is exceptional, but no verified near-term variant exists. The base DCF is below spot, the bull state is uncapped, and every capital gate remains open.</x:v>
      </x:c>
      <x:c r="J10" s="18" t="str">
        <x:v>Do not force a trade. The business is exceptional, but no verified near-term variant exists. The base DCF is below spot, the bull state is uncapped, and every capital gate remains open.</x:v>
      </x:c>
    </x:row>
    <x:row r="11"/>
    <x:row r="12"/>
    <x:row r="13" ht="15" hidden="0" customHeight="1">
      <x:c r="A13" s="19" t="str">
        <x:v>Workbook map</x:v>
      </x:c>
      <x:c r="B13" s="19" t="str">
        <x:v>Workbook map</x:v>
      </x:c>
      <x:c r="C13" s="19" t="str">
        <x:v>Workbook map</x:v>
      </x:c>
      <x:c r="D13" s="19" t="str">
        <x:v>Workbook map</x:v>
      </x:c>
      <x:c r="E13" s="19" t="str">
        <x:v>Workbook map</x:v>
      </x:c>
      <x:c r="F13" s="19" t="str">
        <x:v>Workbook map</x:v>
      </x:c>
      <x:c r="G13" s="19" t="str">
        <x:v>Workbook map</x:v>
      </x:c>
      <x:c r="H13" s="19" t="str">
        <x:v>Workbook map</x:v>
      </x:c>
      <x:c r="I13" s="19" t="str">
        <x:v>Workbook map</x:v>
      </x:c>
      <x:c r="J13" s="19" t="str">
        <x:v>Workbook map</x:v>
      </x:c>
    </x:row>
    <x:row r="14" ht="26.399999618530273" hidden="0" customHeight="1">
      <x:c r="A14" s="22" t="str">
        <x:v>Review</x:v>
      </x:c>
      <x:c r="B14" s="22" t="str">
        <x:v>Eight highest-priority defects and their resolutions</x:v>
      </x:c>
      <x:c r="C14" s="22" t="str">
        <x:v>Sources</x:v>
      </x:c>
      <x:c r="D14" s="22" t="str">
        <x:v>Source ledger with URL and use</x:v>
      </x:c>
      <x:c r="E14" s="22" t="str">
        <x:v>Drivers</x:v>
      </x:c>
      <x:c r="F14" s="22" t="str">
        <x:v>Filed facts and analyst inputs</x:v>
      </x:c>
      <x:c r="G14" s="22" t="str">
        <x:v>WACC</x:v>
      </x:c>
      <x:c r="H14" s="22" t="str">
        <x:v>Explicit CAPM build</x:v>
      </x:c>
      <x:c r="I14" s="22" t="str">
        <x:v>Revenue</x:v>
      </x:c>
      <x:c r="J14" s="22" t="str">
        <x:v>Q1/Q2/FY27 bridge</x:v>
      </x:c>
    </x:row>
    <x:row r="15" ht="26.399999618530273" hidden="0" customHeight="1">
      <x:c r="A15" s="22" t="str">
        <x:v>Depreciation</x:v>
      </x:c>
      <x:c r="B15" s="22" t="str">
        <x:v>Opening D&amp;A plus forecast vintages</x:v>
      </x:c>
      <x:c r="C15" s="22" t="str">
        <x:v>Equity Bridge</x:v>
      </x:c>
      <x:c r="D15" s="22" t="str">
        <x:v>Haircuts by asset type</x:v>
      </x:c>
      <x:c r="E15" s="22" t="str">
        <x:v>Valuation</x:v>
      </x:c>
      <x:c r="F15" s="22" t="str">
        <x:v>Three formula-driven DCFs</x:v>
      </x:c>
      <x:c r="G15" s="22" t="str">
        <x:v>Scenarios</x:v>
      </x:c>
      <x:c r="H15" s="22" t="str">
        <x:v>Unweighted state summary</x:v>
      </x:c>
      <x:c r="I15" s="22" t="str">
        <x:v>Reverse DCF</x:v>
      </x:c>
      <x:c r="J15" s="22" t="str">
        <x:v>Spot-implied assumptions</x:v>
      </x:c>
    </x:row>
    <x:row r="16" ht="15" hidden="0" customHeight="1">
      <x:c r="A16" s="22" t="str">
        <x:v>Sensitivities</x:v>
      </x:c>
      <x:c r="B16" s="22" t="str">
        <x:v>WACC × terminal growth</x:v>
      </x:c>
      <x:c r="C16" s="22" t="str">
        <x:v>Decision</x:v>
      </x:c>
      <x:c r="D16" s="22" t="str">
        <x:v>Action rules and capital gates</x:v>
      </x:c>
      <x:c r="E16" s="22" t="str">
        <x:v>Checks</x:v>
      </x:c>
      <x:c r="F16" s="22" t="str">
        <x:v>Formula controls</x:v>
      </x:c>
      <x:c r="G16" s="22" t="str">
        <x:v>Notes</x:v>
      </x:c>
      <x:c r="H16" s="22" t="str">
        <x:v>Conventions and limitations</x:v>
      </x:c>
      <x:c r="I16" s="22" t="str"/>
      <x:c r="J16" s="22" t="str"/>
    </x:row>
    <x:row r="17" ht="15" hidden="0" customHeight="1">
      <x:c r="A17" s="22" t="str"/>
      <x:c r="B17" s="22" t="str"/>
      <x:c r="C17" s="22" t="str"/>
      <x:c r="D17" s="22" t="str"/>
      <x:c r="E17" s="22" t="str"/>
      <x:c r="F17" s="22" t="str"/>
      <x:c r="G17" s="22" t="str"/>
      <x:c r="H17" s="22" t="str"/>
      <x:c r="I17" s="22" t="str"/>
      <x:c r="J17" s="22" t="str"/>
    </x:row>
    <x:row r="18" ht="15" hidden="0" customHeight="1">
      <x:c r="A18" s="22" t="str">
        <x:v>Status</x:v>
      </x:c>
      <x:c r="B18" s="22" t="str">
        <x:v>All calculation checks must pass</x:v>
      </x:c>
      <x:c r="C18" s="22" t="str"/>
      <x:c r="D18" s="22" t="str"/>
      <x:c r="E18" s="22" t="str"/>
      <x:c r="F18" s="22" t="str"/>
      <x:c r="G18" s="22" t="str"/>
      <x:c r="H18" s="22" t="str"/>
      <x:c r="I18" s="22" t="str"/>
      <x:c r="J18" s="22" t="str"/>
    </x:row>
    <x:row r="19" ht="15" hidden="0" customHeight="1">
      <x:c r="A19" s="22" t="str">
        <x:v>Check failures</x:v>
      </x:c>
      <x:c r="B19" s="23" t="n">
        <x:f>Checks!B15</x:f>
        <x:v>0</x:v>
      </x:c>
      <x:c r="C19" s="22" t="str"/>
      <x:c r="D19" s="22" t="str"/>
      <x:c r="E19" s="22" t="str"/>
      <x:c r="F19" s="22" t="str"/>
      <x:c r="G19" s="22" t="str"/>
      <x:c r="H19" s="22" t="str"/>
      <x:c r="I19" s="22" t="str"/>
      <x:c r="J19" s="22" t="str"/>
    </x:row>
    <x:row r="20" ht="15" hidden="0" customHeight="1">
      <x:c r="A20" s="22" t="str">
        <x:v>Capital gates open</x:v>
      </x:c>
      <x:c r="B20" s="23" t="n">
        <x:f>Decision!B12</x:f>
        <x:v>7</x:v>
      </x:c>
      <x:c r="C20" s="22" t="str"/>
      <x:c r="D20" s="22" t="str"/>
      <x:c r="E20" s="22" t="str"/>
      <x:c r="F20" s="22" t="str"/>
      <x:c r="G20" s="22" t="str"/>
      <x:c r="H20" s="22" t="str"/>
      <x:c r="I20" s="22" t="str"/>
      <x:c r="J20" s="22" t="str"/>
    </x:row>
    <x:row r="21" ht="26.399999618530273" hidden="0" customHeight="1">
      <x:c r="A21" s="22" t="str">
        <x:v>Workbook purpose</x:v>
      </x:c>
      <x:c r="B21" s="22" t="str">
        <x:v>Audit the risk frame; do not use it as an executable order ticket.</x:v>
      </x:c>
      <x:c r="C21" s="22" t="str"/>
      <x:c r="D21" s="22" t="str"/>
      <x:c r="E21" s="22" t="str"/>
      <x:c r="F21" s="22" t="str"/>
      <x:c r="G21" s="22" t="str"/>
      <x:c r="H21" s="22" t="str"/>
      <x:c r="I21" s="22" t="str"/>
      <x:c r="J21" s="22" t="str"/>
    </x:row>
  </x:sheetData>
  <x:mergeCells>
    <x:mergeCell ref="A1:J1"/>
    <x:mergeCell ref="A2:J2"/>
    <x:mergeCell ref="A4:J4"/>
    <x:mergeCell ref="D6:J6"/>
    <x:mergeCell ref="D7:J10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54" hidden="0" customWidth="1"/>
    <x:col min="4" max="4" width="48" hidden="0" customWidth="1"/>
  </x:cols>
  <x:sheetData>
    <x:row r="1" ht="21.600000381469727" hidden="0" customHeight="1">
      <x:c r="A1" s="2" t="str">
        <x:v>Review remediation log</x:v>
      </x:c>
      <x:c r="B1" s="2" t="str">
        <x:v>Review remediation log</x:v>
      </x:c>
      <x:c r="C1" s="2" t="str">
        <x:v>Review remediation log</x:v>
      </x:c>
      <x:c r="D1" s="2" t="str">
        <x:v>Review remediation log</x:v>
      </x:c>
    </x:row>
    <x:row r="2" ht="15" hidden="0" customHeight="1">
      <x:c r="A2" s="5" t="str">
        <x:v>Every highest-priority finding is fixed in the memo and model; unresolved evidence sits in Decision as an open capital gate.</x:v>
      </x:c>
      <x:c r="B2" s="5" t="str">
        <x:v>Every highest-priority finding is fixed in the memo and model; unresolved evidence sits in Decision as an open capital gate.</x:v>
      </x:c>
      <x:c r="C2" s="5" t="str">
        <x:v>Every highest-priority finding is fixed in the memo and model; unresolved evidence sits in Decision as an open capital gate.</x:v>
      </x:c>
      <x:c r="D2" s="5" t="str">
        <x:v>Every highest-priority finding is fixed in the memo and model; unresolved evidence sits in Decision as an open capital gate.</x:v>
      </x:c>
    </x:row>
    <x:row r="3"/>
    <x:row r="4" ht="15" hidden="0" customHeight="1">
      <x:c r="A4" s="26" t="str">
        <x:v>Priority finding</x:v>
      </x:c>
      <x:c r="B4" s="26" t="str">
        <x:v>Status</x:v>
      </x:c>
      <x:c r="C4" s="26" t="str">
        <x:v>Resolution</x:v>
      </x:c>
      <x:c r="D4" s="26" t="str">
        <x:v>PM impact</x:v>
      </x:c>
    </x:row>
    <x:row r="5" ht="15" hidden="0" customHeight="1">
      <x:c r="A5" s="22" t="str">
        <x:v>Internal contradictions and Alphabet copy</x:v>
      </x:c>
      <x:c r="B5" s="30" t="str">
        <x:v>Fixed</x:v>
      </x:c>
      <x:c r="C5" s="22" t="str">
        <x:v>One decision, one valuation set; company reference corrected.</x:v>
      </x:c>
      <x:c r="D5" s="22" t="str">
        <x:v>Prevents contradictory meeting materials.</x:v>
      </x:c>
    </x:row>
    <x:row r="6" ht="15" hidden="0" customHeight="1">
      <x:c r="A6" s="22" t="str">
        <x:v>Q1 equity-security gains silently set to zero</x:v>
      </x:c>
      <x:c r="B6" s="30" t="str">
        <x:v>Fixed</x:v>
      </x:c>
      <x:c r="C6" s="22" t="str">
        <x:v>$15.936bn is shown and separated from operating earnings.</x:v>
      </x:c>
      <x:c r="D6" s="22" t="str">
        <x:v>Corrects operating quality and earnings attribution.</x:v>
      </x:c>
    </x:row>
    <x:row r="7" ht="26.399999618530273" hidden="0" customHeight="1">
      <x:c r="A7" s="22" t="str">
        <x:v>FY2027 D&amp;A below a defensible run-rate</x:v>
      </x:c>
      <x:c r="B7" s="30" t="str">
        <x:v>Fixed</x:v>
      </x:c>
      <x:c r="C7" s="22" t="str">
        <x:v>Opening D&amp;A plus forecast capex vintages; Q1/amortization floor checked.</x:v>
      </x:c>
      <x:c r="D7" s="22" t="str">
        <x:v>Raises FY2027 D&amp;A to a defensible formula-driven run-rate.</x:v>
      </x:c>
    </x:row>
    <x:row r="8" ht="15" hidden="0" customHeight="1">
      <x:c r="A8" s="22" t="str">
        <x:v>Retired product-market disclosure used in forecast</x:v>
      </x:c>
      <x:c r="B8" s="30" t="str">
        <x:v>Fixed</x:v>
      </x:c>
      <x:c r="C8" s="22" t="str">
        <x:v>Consolidated scenarios anchored on Q1 actual and Q2 guidance.</x:v>
      </x:c>
      <x:c r="D8" s="22" t="str">
        <x:v>Removes false precision from retired segment categories.</x:v>
      </x:c>
    </x:row>
    <x:row r="9" ht="15" hidden="0" customHeight="1">
      <x:c r="A9" s="22" t="str">
        <x:v>Hardcoded WACC described as CAPM</x:v>
      </x:c>
      <x:c r="B9" s="30" t="str">
        <x:v>Fixed</x:v>
      </x:c>
      <x:c r="C9" s="22" t="str">
        <x:v>Treasury, beta, ERP, debt cost and capital weights are visible.</x:v>
      </x:c>
      <x:c r="D9" s="22" t="str">
        <x:v>Makes duration and discount-rate risk explicit.</x:v>
      </x:c>
    </x:row>
    <x:row r="10" ht="15" hidden="0" customHeight="1">
      <x:c r="A10" s="22" t="str">
        <x:v>Unnormalized terminal FCFF</x:v>
      </x:c>
      <x:c r="B10" s="30" t="str">
        <x:v>Fixed</x:v>
      </x:c>
      <x:c r="C10" s="22" t="str">
        <x:v>Terminal reinvestment equals growth divided by terminal ROIC.</x:v>
      </x:c>
      <x:c r="D10" s="22" t="str">
        <x:v>Prevents excess terminal cash conversion.</x:v>
      </x:c>
    </x:row>
    <x:row r="11" ht="15" hidden="0" customHeight="1">
      <x:c r="A11" s="22" t="str">
        <x:v>Full credit to strategic and illiquid stakes</x:v>
      </x:c>
      <x:c r="B11" s="30" t="str">
        <x:v>Fixed</x:v>
      </x:c>
      <x:c r="C11" s="22" t="str">
        <x:v>Public, private and equity-method stakes carry explicit haircuts.</x:v>
      </x:c>
      <x:c r="D11" s="22" t="str">
        <x:v>Stops cash-equivalent treatment of risky strategic assets.</x:v>
      </x:c>
    </x:row>
    <x:row r="12" ht="15" hidden="0" customHeight="1">
      <x:c r="A12" s="22" t="str">
        <x:v>Unsupported scenario probabilities drove sizing</x:v>
      </x:c>
      <x:c r="B12" s="30" t="str">
        <x:v>Fixed</x:v>
      </x:c>
      <x:c r="C12" s="22" t="str">
        <x:v>Scenarios are unweighted states; position size remains zero.</x:v>
      </x:c>
      <x:c r="D12" s="22" t="str">
        <x:v>Prevents unsupported expected value and sizing.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34" hidden="0" customWidth="1"/>
    <x:col min="5" max="5" width="60" hidden="0" customWidth="1"/>
    <x:col min="6" max="6" width="72" hidden="0" customWidth="1"/>
  </x:cols>
  <x:sheetData>
    <x:row r="1" ht="21.600000381469727" hidden="0" customHeight="1">
      <x:c r="A1" s="2" t="str">
        <x:v>Source ledger</x:v>
      </x:c>
      <x:c r="B1" s="2" t="str">
        <x:v>Source ledger</x:v>
      </x:c>
      <x:c r="C1" s="2" t="str">
        <x:v>Source ledger</x:v>
      </x:c>
      <x:c r="D1" s="2" t="str">
        <x:v>Source ledger</x:v>
      </x:c>
      <x:c r="E1" s="2" t="str">
        <x:v>Source ledger</x:v>
      </x:c>
      <x:c r="F1" s="2" t="str">
        <x:v>Source ledger</x:v>
      </x:c>
    </x:row>
    <x:row r="2" ht="15" hidden="0" customHeight="1">
      <x:c r="A2" s="5" t="str">
        <x:v>Hardcoded facts cite a source ID at point of use. Analyst assumptions are labeled S7; market data must be refreshed before risk.</x:v>
      </x:c>
      <x:c r="B2" s="5" t="str">
        <x:v>Hardcoded facts cite a source ID at point of use. Analyst assumptions are labeled S7; market data must be refreshed before risk.</x:v>
      </x:c>
      <x:c r="C2" s="5" t="str">
        <x:v>Hardcoded facts cite a source ID at point of use. Analyst assumptions are labeled S7; market data must be refreshed before risk.</x:v>
      </x:c>
      <x:c r="D2" s="5" t="str">
        <x:v>Hardcoded facts cite a source ID at point of use. Analyst assumptions are labeled S7; market data must be refreshed before risk.</x:v>
      </x:c>
      <x:c r="E2" s="5" t="str">
        <x:v>Hardcoded facts cite a source ID at point of use. Analyst assumptions are labeled S7; market data must be refreshed before risk.</x:v>
      </x:c>
      <x:c r="F2" s="5" t="str">
        <x:v>Hardcoded facts cite a source ID at point of use. Analyst assumptions are labeled S7; market data must be refreshed before risk.</x:v>
      </x:c>
    </x:row>
    <x:row r="3"/>
    <x:row r="4" ht="15" hidden="0" customHeight="1">
      <x:c r="A4" s="26" t="str">
        <x:v>ID</x:v>
      </x:c>
      <x:c r="B4" s="26" t="str">
        <x:v>Type</x:v>
      </x:c>
      <x:c r="C4" s="26" t="str">
        <x:v>Date</x:v>
      </x:c>
      <x:c r="D4" s="26" t="str">
        <x:v>Source</x:v>
      </x:c>
      <x:c r="E4" s="26" t="str">
        <x:v>Use</x:v>
      </x:c>
      <x:c r="F4" s="26" t="str">
        <x:v>URL</x:v>
      </x:c>
    </x:row>
    <x:row r="5" ht="26.399999618530273" hidden="0" customHeight="1">
      <x:c r="A5" s="22" t="str">
        <x:v>S1</x:v>
      </x:c>
      <x:c r="B5" s="22" t="str">
        <x:v>Filed fact</x:v>
      </x:c>
      <x:c r="C5" s="22" t="str">
        <x:v>2026-05-20</x:v>
      </x:c>
      <x:c r="D5" s="22" t="str">
        <x:v>Nvidia Q1 FY2027 Form 10-Q</x:v>
      </x:c>
      <x:c r="E5" s="22" t="str">
        <x:v>Financials, current disclosure, investments, commitments, concentration and D&amp;A.</x:v>
      </x:c>
      <x:c r="F5" s="22" t="str">
        <x:v>https://www.sec.gov/Archives/edgar/data/1045810/000104581026000052/nvda-20260426.htm</x:v>
      </x:c>
    </x:row>
    <x:row r="6" ht="26.399999618530273" hidden="0" customHeight="1">
      <x:c r="A6" s="22" t="str">
        <x:v>S2</x:v>
      </x:c>
      <x:c r="B6" s="22" t="str">
        <x:v>Company release</x:v>
      </x:c>
      <x:c r="C6" s="22" t="str">
        <x:v>2026-05-20</x:v>
      </x:c>
      <x:c r="D6" s="22" t="str">
        <x:v>Nvidia Q1 FY2027 results</x:v>
      </x:c>
      <x:c r="E6" s="22" t="str">
        <x:v>Q1 revenue, current reporting framework, Data Center detail and Q2 guide.</x:v>
      </x:c>
      <x:c r="F6" s="22" t="str">
        <x:v>https://nvidianews.nvidia.com/news/nvidia-announces-financial-results-for-first-quarter-fiscal-2027</x:v>
      </x:c>
    </x:row>
    <x:row r="7" ht="15" hidden="0" customHeight="1">
      <x:c r="A7" s="22" t="str">
        <x:v>S3</x:v>
      </x:c>
      <x:c r="B7" s="22" t="str">
        <x:v>Filed fact</x:v>
      </x:c>
      <x:c r="C7" s="22" t="str">
        <x:v>2026-02-25</x:v>
      </x:c>
      <x:c r="D7" s="22" t="str">
        <x:v>Nvidia FY2026 Form 10-K</x:v>
      </x:c>
      <x:c r="E7" s="22" t="str">
        <x:v>FY2026 revenue and historical financial context.</x:v>
      </x:c>
      <x:c r="F7" s="22" t="str">
        <x:v>https://www.sec.gov/Archives/edgar/data/1045810/000104581026000021/nvda-20260125.htm</x:v>
      </x:c>
    </x:row>
    <x:row r="8" ht="26.399999618530273" hidden="0" customHeight="1">
      <x:c r="A8" s="22" t="str">
        <x:v>S4</x:v>
      </x:c>
      <x:c r="B8" s="22" t="str">
        <x:v>Market fact</x:v>
      </x:c>
      <x:c r="C8" s="22" t="str">
        <x:v>2026-08-07</x:v>
      </x:c>
      <x:c r="D8" s="22" t="str">
        <x:v>U.S. Treasury daily par yield curve</x:v>
      </x:c>
      <x:c r="E8" s="22" t="str">
        <x:v>4.65% ten-year risk-free rate on August 7.</x:v>
      </x:c>
      <x:c r="F8" s="22" t="str">
        <x:v>https://home.treasury.gov/resource-center/data-chart-center/interest-rates/TextView?type=daily_treasury_yield_curve&amp;field_tdr_date_value=2026</x:v>
      </x:c>
    </x:row>
    <x:row r="9" ht="15" hidden="0" customHeight="1">
      <x:c r="A9" s="22" t="str">
        <x:v>S5</x:v>
      </x:c>
      <x:c r="B9" s="22" t="str">
        <x:v>Market snapshot</x:v>
      </x:c>
      <x:c r="C9" s="22" t="str">
        <x:v>2026-08-07</x:v>
      </x:c>
      <x:c r="D9" s="22" t="str">
        <x:v>Read-only Robinhood regular-hours snapshot</x:v>
      </x:c>
      <x:c r="E9" s="22" t="str">
        <x:v>$223.90 last trade; frozen reference, not an executable quote.</x:v>
      </x:c>
      <x:c r="F9" s="22" t="str">
        <x:v>https://robinhood.com/stocks/NVDA</x:v>
      </x:c>
    </x:row>
    <x:row r="10" ht="26.399999618530273" hidden="0" customHeight="1">
      <x:c r="A10" s="22" t="str">
        <x:v>S6</x:v>
      </x:c>
      <x:c r="B10" s="22" t="str">
        <x:v>Aggregator snapshot</x:v>
      </x:c>
      <x:c r="C10" s="22" t="str">
        <x:v>2026-08-07</x:v>
      </x:c>
      <x:c r="D10" s="22" t="str">
        <x:v>Frozen FMP annual consensus extract</x:v>
      </x:c>
      <x:c r="E10" s="22" t="str">
        <x:v>Revenue range and analyst count; provider metadata and revisions remain an open gate.</x:v>
      </x:c>
      <x:c r="F10" s="22" t="str">
        <x:v>https://financialmodelingprep.com/</x:v>
      </x:c>
    </x:row>
    <x:row r="11" ht="15" hidden="0" customHeight="1">
      <x:c r="A11" s="22" t="str">
        <x:v>S7</x:v>
      </x:c>
      <x:c r="B11" s="22" t="str">
        <x:v>Analyst assumption</x:v>
      </x:c>
      <x:c r="C11" s="22" t="str">
        <x:v>2026-08-07</x:v>
      </x:c>
      <x:c r="D11" s="22" t="str">
        <x:v>PM scenario and valuation assumptions</x:v>
      </x:c>
      <x:c r="E11" s="22" t="str">
        <x:v>Revenue paths, margins, beta, ERP, terminal ROIC, haircuts and action hurdles.</x:v>
      </x:c>
      <x:c r="F11" s="22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3" hidden="0" customWidth="1"/>
    <x:col min="4" max="4" width="66" hidden="0" customWidth="1"/>
  </x:cols>
  <x:sheetData>
    <x:row r="1" ht="21.600000381469727" hidden="0" customHeight="1">
      <x:c r="A1" s="2" t="str">
        <x:v>Drivers and filed facts</x:v>
      </x:c>
      <x:c r="B1" s="2" t="str">
        <x:v>Drivers and filed facts</x:v>
      </x:c>
      <x:c r="C1" s="2" t="str">
        <x:v>Drivers and filed facts</x:v>
      </x:c>
      <x:c r="D1" s="2" t="str">
        <x:v>Drivers and filed facts</x:v>
      </x:c>
    </x:row>
    <x:row r="2" ht="15" hidden="0" customHeight="1">
      <x:c r="A2" s="5" t="str">
        <x:v>Blue cells are hardcoded inputs. Every fact has a source ID; S7 marks analyst assumptions.</x:v>
      </x:c>
      <x:c r="B2" s="5" t="str">
        <x:v>Blue cells are hardcoded inputs. Every fact has a source ID; S7 marks analyst assumptions.</x:v>
      </x:c>
      <x:c r="C2" s="5" t="str">
        <x:v>Blue cells are hardcoded inputs. Every fact has a source ID; S7 marks analyst assumptions.</x:v>
      </x:c>
      <x:c r="D2" s="5" t="str">
        <x:v>Blue cells are hardcoded inputs. Every fact has a source ID; S7 marks analyst assumptions.</x:v>
      </x:c>
    </x:row>
    <x:row r="3"/>
    <x:row r="4" ht="15" hidden="0" customHeight="1">
      <x:c r="A4" s="26" t="str">
        <x:v>Input</x:v>
      </x:c>
      <x:c r="B4" s="26" t="str">
        <x:v>Value</x:v>
      </x:c>
      <x:c r="C4" s="26" t="str">
        <x:v>Source</x:v>
      </x:c>
      <x:c r="D4" s="26" t="str">
        <x:v>Use / caveat</x:v>
      </x:c>
    </x:row>
    <x:row r="5" ht="15" hidden="0" customHeight="1">
      <x:c r="A5" s="22" t="str">
        <x:v>Spot</x:v>
      </x:c>
      <x:c r="B5" s="46" t="n">
        <x:v>223.9</x:v>
      </x:c>
      <x:c r="C5" s="22" t="str">
        <x:v>S5</x:v>
      </x:c>
      <x:c r="D5" s="22" t="str">
        <x:v>Frozen regular-hours reference; not executable</x:v>
      </x:c>
    </x:row>
    <x:row r="6" ht="15" hidden="0" customHeight="1">
      <x:c r="A6" s="22" t="str">
        <x:v>Diluted shares, bn</x:v>
      </x:c>
      <x:c r="B6" s="46" t="n">
        <x:v>24.391</x:v>
      </x:c>
      <x:c r="C6" s="22" t="str">
        <x:v>S1</x:v>
      </x:c>
      <x:c r="D6" s="22" t="str">
        <x:v>Q1 FY2027 weighted average</x:v>
      </x:c>
    </x:row>
    <x:row r="7" ht="15" hidden="0" customHeight="1">
      <x:c r="A7" s="22" t="str">
        <x:v>FY2026 revenue, $bn</x:v>
      </x:c>
      <x:c r="B7" s="46" t="n">
        <x:v>213.656</x:v>
      </x:c>
      <x:c r="C7" s="22" t="str">
        <x:v>S3</x:v>
      </x:c>
      <x:c r="D7" s="22" t="str">
        <x:v>Historical anchor</x:v>
      </x:c>
    </x:row>
    <x:row r="8" ht="15" hidden="0" customHeight="1">
      <x:c r="A8" s="22" t="str">
        <x:v>Q1 FY2027 revenue, $bn</x:v>
      </x:c>
      <x:c r="B8" s="46" t="n">
        <x:v>81.615</x:v>
      </x:c>
      <x:c r="C8" s="22" t="str">
        <x:v>S1/S2</x:v>
      </x:c>
      <x:c r="D8" s="22" t="str">
        <x:v>Reported</x:v>
      </x:c>
    </x:row>
    <x:row r="9" ht="15" hidden="0" customHeight="1">
      <x:c r="A9" s="22" t="str">
        <x:v>Q2 guide midpoint, $bn</x:v>
      </x:c>
      <x:c r="B9" s="46" t="n">
        <x:v>91</x:v>
      </x:c>
      <x:c r="C9" s="22" t="str">
        <x:v>S2</x:v>
      </x:c>
      <x:c r="D9" s="22" t="str">
        <x:v>±2%; no China DC compute</x:v>
      </x:c>
    </x:row>
    <x:row r="10" ht="15" hidden="0" customHeight="1">
      <x:c r="A10" s="22" t="str">
        <x:v>Q1 CFO, $bn</x:v>
      </x:c>
      <x:c r="B10" s="46" t="n">
        <x:v>50.344</x:v>
      </x:c>
      <x:c r="C10" s="22" t="str">
        <x:v>S1</x:v>
      </x:c>
      <x:c r="D10" s="22" t="str">
        <x:v>Reported</x:v>
      </x:c>
    </x:row>
    <x:row r="11" ht="15" hidden="0" customHeight="1">
      <x:c r="A11" s="22" t="str">
        <x:v>Q1 capex, $bn</x:v>
      </x:c>
      <x:c r="B11" s="46" t="n">
        <x:v>1.757</x:v>
      </x:c>
      <x:c r="C11" s="22" t="str">
        <x:v>S1</x:v>
      </x:c>
      <x:c r="D11" s="22" t="str">
        <x:v>Reported productive assets</x:v>
      </x:c>
    </x:row>
    <x:row r="12" ht="15" hidden="0" customHeight="1">
      <x:c r="A12" s="22" t="str">
        <x:v>Q1 FCF proxy, $bn</x:v>
      </x:c>
      <x:c r="B12" s="47" t="n">
        <x:f>B10-B11</x:f>
        <x:v>48.587</x:v>
      </x:c>
      <x:c r="C12" s="22" t="str">
        <x:v>Calc</x:v>
      </x:c>
      <x:c r="D12" s="22" t="str">
        <x:v>CFO less capex; used only to remove Q1 from FY27 DCF</x:v>
      </x:c>
    </x:row>
    <x:row r="13" ht="15" hidden="0" customHeight="1">
      <x:c r="A13" s="22" t="str">
        <x:v>Opening TTM D&amp;A, $bn</x:v>
      </x:c>
      <x:c r="B13" s="46" t="n">
        <x:v>3.229</x:v>
      </x:c>
      <x:c r="C13" s="22" t="str">
        <x:v>S1</x:v>
      </x:c>
      <x:c r="D13" s="22" t="str">
        <x:v>Opening run-rate block</x:v>
      </x:c>
    </x:row>
    <x:row r="14" ht="15" hidden="0" customHeight="1">
      <x:c r="A14" s="22" t="str">
        <x:v>Q1 D&amp;A, $bn</x:v>
      </x:c>
      <x:c r="B14" s="46" t="n">
        <x:v>0.997</x:v>
      </x:c>
      <x:c r="C14" s="22" t="str">
        <x:v>S1</x:v>
      </x:c>
      <x:c r="D14" s="22" t="str">
        <x:v>Reported</x:v>
      </x:c>
    </x:row>
    <x:row r="15" ht="15" hidden="0" customHeight="1">
      <x:c r="A15" s="22" t="str">
        <x:v>Remaining FY2027 intangible amort., $bn</x:v>
      </x:c>
      <x:c r="B15" s="46" t="n">
        <x:v>0.689</x:v>
      </x:c>
      <x:c r="C15" s="22" t="str">
        <x:v>S1</x:v>
      </x:c>
      <x:c r="D15" s="22" t="str">
        <x:v>Disclosed future amortization</x:v>
      </x:c>
    </x:row>
    <x:row r="16" ht="15" hidden="0" customHeight="1">
      <x:c r="A16" s="22" t="str"/>
      <x:c r="B16" s="46"/>
      <x:c r="C16" s="22" t="str"/>
      <x:c r="D16" s="22" t="str"/>
    </x:row>
    <x:row r="17" ht="15" hidden="0" customHeight="1">
      <x:c r="A17" s="22" t="str">
        <x:v>Liquid cash + marketable debt, $bn</x:v>
      </x:c>
      <x:c r="B17" s="46" t="n">
        <x:v>50.335</x:v>
      </x:c>
      <x:c r="C17" s="22" t="str">
        <x:v>S1/S2</x:v>
      </x:c>
      <x:c r="D17" s="22" t="str">
        <x:v>Cash 13.237 + marketable debt 37.098</x:v>
      </x:c>
    </x:row>
    <x:row r="18" ht="15" hidden="0" customHeight="1">
      <x:c r="A18" s="22" t="str">
        <x:v>Marketable equity, $bn</x:v>
      </x:c>
      <x:c r="B18" s="46" t="n">
        <x:v>30.237</x:v>
      </x:c>
      <x:c r="C18" s="22" t="str">
        <x:v>S1</x:v>
      </x:c>
      <x:c r="D18" s="22" t="str">
        <x:v>$27.4bn subject to short-term lock-ups</x:v>
      </x:c>
    </x:row>
    <x:row r="19" ht="15" hidden="0" customHeight="1">
      <x:c r="A19" s="22" t="str">
        <x:v>Nonmarketable equity, $bn</x:v>
      </x:c>
      <x:c r="B19" s="46" t="n">
        <x:v>42.336</x:v>
      </x:c>
      <x:c r="C19" s="22" t="str">
        <x:v>S1</x:v>
      </x:c>
      <x:c r="D19" s="22" t="str">
        <x:v>Illiquid carrying value</x:v>
      </x:c>
    </x:row>
    <x:row r="20" ht="15" hidden="0" customHeight="1">
      <x:c r="A20" s="22" t="str">
        <x:v>Equity-method stakes, $bn</x:v>
      </x:c>
      <x:c r="B20" s="46" t="n">
        <x:v>1.028</x:v>
      </x:c>
      <x:c r="C20" s="22" t="str">
        <x:v>S1</x:v>
      </x:c>
      <x:c r="D20" s="22" t="str">
        <x:v>Infrastructure funds</x:v>
      </x:c>
    </x:row>
    <x:row r="21" ht="15" hidden="0" customHeight="1">
      <x:c r="A21" s="22" t="str">
        <x:v>Debt, $bn</x:v>
      </x:c>
      <x:c r="B21" s="46" t="n">
        <x:v>8.47</x:v>
      </x:c>
      <x:c r="C21" s="22" t="str">
        <x:v>S1</x:v>
      </x:c>
      <x:c r="D21" s="22" t="str">
        <x:v>Current + long-term notes</x:v>
      </x:c>
    </x:row>
    <x:row r="22" ht="15" hidden="0" customHeight="1">
      <x:c r="A22" s="22" t="str">
        <x:v>Operating leases, $bn</x:v>
      </x:c>
      <x:c r="B22" s="46" t="n">
        <x:v>4.344</x:v>
      </x:c>
      <x:c r="C22" s="22" t="str">
        <x:v>S1</x:v>
      </x:c>
      <x:c r="D22" s="22" t="str">
        <x:v>Disclosed, not deducted; lease expense is in operations</x:v>
      </x:c>
    </x:row>
    <x:row r="23" ht="15" hidden="0" customHeight="1">
      <x:c r="A23" s="22" t="str"/>
      <x:c r="B23" s="46"/>
      <x:c r="C23" s="22" t="str"/>
      <x:c r="D23" s="22" t="str"/>
    </x:row>
    <x:row r="24" ht="15" hidden="0" customHeight="1">
      <x:c r="A24" s="22" t="str">
        <x:v>Risk-free rate</x:v>
      </x:c>
      <x:c r="B24" s="48" t="n">
        <x:v>0.0465</x:v>
      </x:c>
      <x:c r="C24" s="22" t="str">
        <x:v>S4</x:v>
      </x:c>
      <x:c r="D24" s="22" t="str">
        <x:v>Aug. 7 ten-year Treasury</x:v>
      </x:c>
    </x:row>
    <x:row r="25" ht="15" hidden="0" customHeight="1">
      <x:c r="A25" s="22" t="str">
        <x:v>Normalized beta</x:v>
      </x:c>
      <x:c r="B25" s="49" t="n">
        <x:v>1.35</x:v>
      </x:c>
      <x:c r="C25" s="22" t="str">
        <x:v>S7</x:v>
      </x:c>
      <x:c r="D25" s="22" t="str">
        <x:v>Analyst assumption</x:v>
      </x:c>
    </x:row>
    <x:row r="26" ht="15" hidden="0" customHeight="1">
      <x:c r="A26" s="22" t="str">
        <x:v>Equity risk premium</x:v>
      </x:c>
      <x:c r="B26" s="48" t="n">
        <x:v>0.045</x:v>
      </x:c>
      <x:c r="C26" s="22" t="str">
        <x:v>S7</x:v>
      </x:c>
      <x:c r="D26" s="22" t="str">
        <x:v>Analyst assumption</x:v>
      </x:c>
    </x:row>
    <x:row r="27" ht="15" hidden="0" customHeight="1">
      <x:c r="A27" s="22" t="str">
        <x:v>Pre-tax debt cost</x:v>
      </x:c>
      <x:c r="B27" s="48" t="n">
        <x:v>0.05</x:v>
      </x:c>
      <x:c r="C27" s="22" t="str">
        <x:v>S7</x:v>
      </x:c>
      <x:c r="D27" s="22" t="str">
        <x:v>Analyst assumption</x:v>
      </x:c>
    </x:row>
    <x:row r="28" ht="15" hidden="0" customHeight="1">
      <x:c r="A28" s="22" t="str">
        <x:v>Marginal tax rate</x:v>
      </x:c>
      <x:c r="B28" s="48" t="n">
        <x:v>0.17</x:v>
      </x:c>
      <x:c r="C28" s="22" t="str">
        <x:v>S7</x:v>
      </x:c>
      <x:c r="D28" s="22" t="str">
        <x:v>Analyst assumption</x:v>
      </x:c>
    </x:row>
    <x:row r="29" ht="15" hidden="0" customHeight="1">
      <x:c r="A29" s="22" t="str"/>
      <x:c r="B29" s="50"/>
      <x:c r="C29" s="22" t="str"/>
      <x:c r="D29" s="22" t="str"/>
    </x:row>
    <x:row r="30" ht="15" hidden="0" customHeight="1">
      <x:c r="A30" s="22" t="str">
        <x:v>Required net return</x:v>
      </x:c>
      <x:c r="B30" s="48" t="n">
        <x:v>0.2</x:v>
      </x:c>
      <x:c r="C30" s="22" t="str">
        <x:v>S7</x:v>
      </x:c>
      <x:c r="D30" s="22" t="str">
        <x:v>Minimum observable-variant hurdle</x:v>
      </x:c>
    </x:row>
    <x:row r="31" ht="15" hidden="0" customHeight="1">
      <x:c r="A31" s="22" t="str">
        <x:v>First stub period, years</x:v>
      </x:c>
      <x:c r="B31" s="51" t="n">
        <x:v>0.24</x:v>
      </x:c>
      <x:c r="C31" s="22" t="str">
        <x:v>S7</x:v>
      </x:c>
      <x:c r="D31" s="22" t="str">
        <x:v>Aug. 8 to midpoint of remaining FY2027 cash flows</x:v>
      </x:c>
    </x:row>
    <x:row r="32" ht="15" hidden="0" customHeight="1">
      <x:c r="A32" s="22" t="str">
        <x:v>Terminal period, years</x:v>
      </x:c>
      <x:c r="B32" s="51" t="n">
        <x:v>5.47</x:v>
      </x:c>
      <x:c r="C32" s="22" t="str">
        <x:v>S7</x:v>
      </x:c>
      <x:c r="D32" s="22" t="str">
        <x:v>Aug. 8 to FY2032 year-end</x:v>
      </x:c>
    </x:row>
    <x:row r="33" ht="15" hidden="0" customHeight="1">
      <x:c r="A33" s="22" t="str">
        <x:v>Short-lived asset share</x:v>
      </x:c>
      <x:c r="B33" s="51" t="n">
        <x:v>0.6</x:v>
      </x:c>
      <x:c r="C33" s="22" t="str">
        <x:v>S7</x:v>
      </x:c>
      <x:c r="D33" s="22" t="str">
        <x:v>Depreciation assumption</x:v>
      </x:c>
    </x:row>
    <x:row r="34" ht="15" hidden="0" customHeight="1">
      <x:c r="A34" s="22" t="str">
        <x:v>Short useful life, years</x:v>
      </x:c>
      <x:c r="B34" s="51" t="n">
        <x:v>5</x:v>
      </x:c>
      <x:c r="C34" s="22" t="str">
        <x:v>S7</x:v>
      </x:c>
      <x:c r="D34" s="22" t="str">
        <x:v>Depreciation assumption</x:v>
      </x:c>
    </x:row>
    <x:row r="35" ht="15" hidden="0" customHeight="1">
      <x:c r="A35" s="22" t="str">
        <x:v>Long useful life, years</x:v>
      </x:c>
      <x:c r="B35" s="51" t="n">
        <x:v>20</x:v>
      </x:c>
      <x:c r="C35" s="22" t="str">
        <x:v>S7</x:v>
      </x:c>
      <x:c r="D35" s="22" t="str">
        <x:v>Depreciation assumption</x:v>
      </x:c>
    </x:row>
    <x:row r="36" ht="15" hidden="0" customHeight="1">
      <x:c r="A36" s="22" t="str"/>
      <x:c r="B36" s="50"/>
      <x:c r="C36" s="22" t="str"/>
      <x:c r="D36" s="22" t="str"/>
    </x:row>
    <x:row r="37" ht="15" hidden="0" customHeight="1">
      <x:c r="A37" s="22" t="str">
        <x:v>Q1 equity-security gains, $bn</x:v>
      </x:c>
      <x:c r="B37" s="46" t="n">
        <x:v>15.936</x:v>
      </x:c>
      <x:c r="C37" s="22" t="str">
        <x:v>S1</x:v>
      </x:c>
      <x:c r="D37" s="22" t="str">
        <x:v>Do not treat as operating earnings</x:v>
      </x:c>
    </x:row>
    <x:row r="38" ht="15" hidden="0" customHeight="1">
      <x:c r="A38" s="22" t="str">
        <x:v>Q1 pretax income, $bn</x:v>
      </x:c>
      <x:c r="B38" s="46" t="n">
        <x:v>69.903</x:v>
      </x:c>
      <x:c r="C38" s="22" t="str">
        <x:v>S1</x:v>
      </x:c>
      <x:c r="D38" s="22" t="str">
        <x:v>Reported</x:v>
      </x:c>
    </x:row>
    <x:row r="39" ht="15" hidden="0" customHeight="1">
      <x:c r="A39" s="22" t="str">
        <x:v>Q1 inventory, $bn</x:v>
      </x:c>
      <x:c r="B39" s="46" t="n">
        <x:v>25.797</x:v>
      </x:c>
      <x:c r="C39" s="22" t="str">
        <x:v>S1</x:v>
      </x:c>
      <x:c r="D39" s="22" t="str">
        <x:v>Read with guide and cancellations</x:v>
      </x:c>
    </x:row>
    <x:row r="40" ht="15" hidden="0" customHeight="1">
      <x:c r="A40" s="22" t="str">
        <x:v>Manufacturing commitments, $bn</x:v>
      </x:c>
      <x:c r="B40" s="46" t="n">
        <x:v>119</x:v>
      </x:c>
      <x:c r="C40" s="22" t="str">
        <x:v>S1</x:v>
      </x:c>
      <x:c r="D40" s="22" t="str">
        <x:v>95bn payable in remaining FY2027</x:v>
      </x:c>
    </x:row>
    <x:row r="41" ht="15" hidden="0" customHeight="1">
      <x:c r="A41" s="22" t="str">
        <x:v>Cloud commitments, $bn</x:v>
      </x:c>
      <x:c r="B41" s="46" t="n">
        <x:v>30</x:v>
      </x:c>
      <x:c r="C41" s="22" t="str">
        <x:v>S1</x:v>
      </x:c>
      <x:c r="D41" s="22" t="str">
        <x:v>Multi-year R&amp;D capacity</x:v>
      </x:c>
    </x:row>
    <x:row r="42" ht="15" hidden="0" customHeight="1">
      <x:c r="A42" s="22" t="str">
        <x:v>Investment commitments, $bn</x:v>
      </x:c>
      <x:c r="B42" s="46" t="n">
        <x:v>27</x:v>
      </x:c>
      <x:c r="C42" s="22" t="str">
        <x:v>S1</x:v>
      </x:c>
      <x:c r="D42" s="22" t="str">
        <x:v>Contingent; expected in remaining FY2027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8" hidden="0" customWidth="1"/>
    <x:col min="4" max="4" width="42" hidden="0" customWidth="1"/>
  </x:cols>
  <x:sheetData>
    <x:row r="1" ht="21.600000381469727" hidden="0" customHeight="1">
      <x:c r="A1" s="2" t="str">
        <x:v>WACC build</x:v>
      </x:c>
      <x:c r="B1" s="2" t="str">
        <x:v>WACC build</x:v>
      </x:c>
      <x:c r="C1" s="2" t="str">
        <x:v>WACC build</x:v>
      </x:c>
      <x:c r="D1" s="2" t="str">
        <x:v>WACC build</x:v>
      </x:c>
    </x:row>
    <x:row r="2" ht="15" hidden="0" customHeight="1">
      <x:c r="A2" s="5" t="str">
        <x:v>CAPM is explicit. The base scenario uses the rounded output; bear and bull add visible spreads.</x:v>
      </x:c>
      <x:c r="B2" s="5" t="str">
        <x:v>CAPM is explicit. The base scenario uses the rounded output; bear and bull add visible spreads.</x:v>
      </x:c>
      <x:c r="C2" s="5" t="str">
        <x:v>CAPM is explicit. The base scenario uses the rounded output; bear and bull add visible spreads.</x:v>
      </x:c>
      <x:c r="D2" s="5" t="str">
        <x:v>CAPM is explicit. The base scenario uses the rounded output; bear and bull add visible spreads.</x:v>
      </x:c>
    </x:row>
    <x:row r="3"/>
    <x:row r="4" ht="15" hidden="0" customHeight="1">
      <x:c r="A4" s="26" t="str">
        <x:v>Component</x:v>
      </x:c>
      <x:c r="B4" s="26" t="str">
        <x:v>Value</x:v>
      </x:c>
      <x:c r="C4" s="26" t="str">
        <x:v>Formula / source</x:v>
      </x:c>
      <x:c r="D4" s="26" t="str">
        <x:v>Comment</x:v>
      </x:c>
    </x:row>
    <x:row r="5" ht="15" hidden="0" customHeight="1">
      <x:c r="A5" s="22" t="str">
        <x:v>Risk-free rate</x:v>
      </x:c>
      <x:c r="B5" s="61" t="n">
        <x:f>Drivers!B24</x:f>
        <x:v>0.0465</x:v>
      </x:c>
      <x:c r="C5" s="22" t="str">
        <x:v>S4</x:v>
      </x:c>
      <x:c r="D5" s="22" t="str">
        <x:v>Ten-year Treasury</x:v>
      </x:c>
    </x:row>
    <x:row r="6" ht="15" hidden="0" customHeight="1">
      <x:c r="A6" s="22" t="str">
        <x:v>Beta</x:v>
      </x:c>
      <x:c r="B6" s="62" t="n">
        <x:f>Drivers!B25</x:f>
        <x:v>1.35</x:v>
      </x:c>
      <x:c r="C6" s="22" t="str">
        <x:v>S7</x:v>
      </x:c>
      <x:c r="D6" s="22" t="str">
        <x:v>Normalized analyst assumption</x:v>
      </x:c>
    </x:row>
    <x:row r="7" ht="15" hidden="0" customHeight="1">
      <x:c r="A7" s="22" t="str">
        <x:v>Equity risk premium</x:v>
      </x:c>
      <x:c r="B7" s="61" t="n">
        <x:f>Drivers!B26</x:f>
        <x:v>0.045</x:v>
      </x:c>
      <x:c r="C7" s="22" t="str">
        <x:v>S7</x:v>
      </x:c>
      <x:c r="D7" s="22" t="str">
        <x:v>Analyst assumption</x:v>
      </x:c>
    </x:row>
    <x:row r="8" ht="15" hidden="0" customHeight="1">
      <x:c r="A8" s="22" t="str">
        <x:v>Cost of equity</x:v>
      </x:c>
      <x:c r="B8" s="61" t="n">
        <x:f>B5+B6*B7</x:f>
        <x:v>0.10725</x:v>
      </x:c>
      <x:c r="C8" s="22" t="str">
        <x:v>Rf + beta × ERP</x:v>
      </x:c>
      <x:c r="D8" s="22" t="str">
        <x:v>CAPM</x:v>
      </x:c>
    </x:row>
    <x:row r="9" ht="15" hidden="0" customHeight="1">
      <x:c r="A9" s="22" t="str">
        <x:v>Market capitalization, $bn</x:v>
      </x:c>
      <x:c r="B9" s="63" t="n">
        <x:f>Drivers!B5*Drivers!B6</x:f>
        <x:v>5461.144899999999</x:v>
      </x:c>
      <x:c r="C9" s="22" t="str">
        <x:v>Spot × diluted shares</x:v>
      </x:c>
      <x:c r="D9" s="22" t="str">
        <x:v>Market-value weight</x:v>
      </x:c>
    </x:row>
    <x:row r="10" ht="15" hidden="0" customHeight="1">
      <x:c r="A10" s="22" t="str">
        <x:v>Debt, $bn</x:v>
      </x:c>
      <x:c r="B10" s="63" t="n">
        <x:f>Drivers!B21</x:f>
        <x:v>8.47</x:v>
      </x:c>
      <x:c r="C10" s="22" t="str">
        <x:v>S1</x:v>
      </x:c>
      <x:c r="D10" s="22" t="str">
        <x:v>Current + long-term</x:v>
      </x:c>
    </x:row>
    <x:row r="11" ht="15" hidden="0" customHeight="1">
      <x:c r="A11" s="22" t="str">
        <x:v>Equity weight</x:v>
      </x:c>
      <x:c r="B11" s="61" t="n">
        <x:f>B9/(B9+B10)</x:f>
        <x:v>0.9984514449088545</x:v>
      </x:c>
      <x:c r="C11" s="22" t="str">
        <x:v>Market value / capital</x:v>
      </x:c>
      <x:c r="D11" s="22" t="str"/>
    </x:row>
    <x:row r="12" ht="15" hidden="0" customHeight="1">
      <x:c r="A12" s="22" t="str">
        <x:v>Debt weight</x:v>
      </x:c>
      <x:c r="B12" s="61" t="n">
        <x:f>B10/(B9+B10)</x:f>
        <x:v>0.0015485550911454482</x:v>
      </x:c>
      <x:c r="C12" s="22" t="str">
        <x:v>Debt / capital</x:v>
      </x:c>
      <x:c r="D12" s="22" t="str"/>
    </x:row>
    <x:row r="13" ht="15" hidden="0" customHeight="1">
      <x:c r="A13" s="22" t="str">
        <x:v>After-tax debt cost</x:v>
      </x:c>
      <x:c r="B13" s="61" t="n">
        <x:f>Drivers!B27*(1-Drivers!B28)</x:f>
        <x:v>0.0415</x:v>
      </x:c>
      <x:c r="C13" s="22" t="str">
        <x:v>Kd × (1 − tax)</x:v>
      </x:c>
      <x:c r="D13" s="22" t="str"/>
    </x:row>
    <x:row r="14" ht="15" hidden="0" customHeight="1">
      <x:c r="A14" s="22" t="str">
        <x:v>Calculated WACC</x:v>
      </x:c>
      <x:c r="B14" s="64" t="n">
        <x:f>B11*B8+B12*B13</x:f>
        <x:v>0.10714818250275719</x:v>
      </x:c>
      <x:c r="C14" s="22" t="str">
        <x:v>Weighted cost</x:v>
      </x:c>
      <x:c r="D14" s="22" t="str"/>
    </x:row>
    <x:row r="15" ht="15" hidden="0" customHeight="1">
      <x:c r="A15" s="22" t="str">
        <x:v>Base model WACC</x:v>
      </x:c>
      <x:c r="B15" s="64" t="n">
        <x:f>ROUND(B14,3)</x:f>
        <x:v>0.107</x:v>
      </x:c>
      <x:c r="C15" s="22" t="str">
        <x:v>Rounded calculated WACC</x:v>
      </x:c>
      <x:c r="D15" s="22" t="str">
        <x:v>Used by base scenario</x:v>
      </x:c>
    </x:row>
    <x:row r="16" ht="15" hidden="0" customHeight="1">
      <x:c r="A16" s="22" t="str">
        <x:v>Rounding difference</x:v>
      </x:c>
      <x:c r="B16" s="61" t="n">
        <x:f>B15-B14</x:f>
        <x:v>-0.0001481825027571937</x:v>
      </x:c>
      <x:c r="C16" s="22" t="str">
        <x:v>Model less calculated</x:v>
      </x:c>
      <x:c r="D16" s="22" t="str">
        <x:v>Control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5" hidden="0" customWidth="1"/>
    <x:col min="4" max="4" width="58" hidden="0" customWidth="1"/>
  </x:cols>
  <x:sheetData>
    <x:row r="1" ht="21.600000381469727" hidden="0" customHeight="1">
      <x:c r="A1" s="2" t="str">
        <x:v>Revenue anchor and near-term bridge</x:v>
      </x:c>
      <x:c r="B1" s="2" t="str">
        <x:v>Revenue anchor and near-term bridge</x:v>
      </x:c>
      <x:c r="C1" s="2" t="str">
        <x:v>Revenue anchor and near-term bridge</x:v>
      </x:c>
      <x:c r="D1" s="2" t="str">
        <x:v>Revenue anchor and near-term bridge</x:v>
      </x:c>
    </x:row>
    <x:row r="2" ht="15" hidden="0" customHeight="1">
      <x:c r="A2" s="5" t="str">
        <x:v>Q1 actual plus Q2 guidance replaces the retired product-market build. Street figures are a frozen aggregator reference, not a canonical broker tape.</x:v>
      </x:c>
      <x:c r="B2" s="5" t="str">
        <x:v>Q1 actual plus Q2 guidance replaces the retired product-market build. Street figures are a frozen aggregator reference, not a canonical broker tape.</x:v>
      </x:c>
      <x:c r="C2" s="5" t="str">
        <x:v>Q1 actual plus Q2 guidance replaces the retired product-market build. Street figures are a frozen aggregator reference, not a canonical broker tape.</x:v>
      </x:c>
      <x:c r="D2" s="5" t="str">
        <x:v>Q1 actual plus Q2 guidance replaces the retired product-market build. Street figures are a frozen aggregator reference, not a canonical broker tape.</x:v>
      </x:c>
    </x:row>
    <x:row r="3"/>
    <x:row r="4" ht="15" hidden="0" customHeight="1">
      <x:c r="A4" s="26" t="str">
        <x:v>Item</x:v>
      </x:c>
      <x:c r="B4" s="26" t="str">
        <x:v>Value</x:v>
      </x:c>
      <x:c r="C4" s="26" t="str">
        <x:v>Source</x:v>
      </x:c>
      <x:c r="D4" s="26" t="str">
        <x:v>Interpretation</x:v>
      </x:c>
    </x:row>
    <x:row r="5" ht="15" hidden="0" customHeight="1">
      <x:c r="A5" s="22" t="str">
        <x:v>FY2026 revenue, $bn</x:v>
      </x:c>
      <x:c r="B5" s="63" t="n">
        <x:f>Drivers!B7</x:f>
        <x:v>213.656</x:v>
      </x:c>
      <x:c r="C5" s="22" t="str">
        <x:v>S3</x:v>
      </x:c>
      <x:c r="D5" s="22" t="str">
        <x:v>Historical base</x:v>
      </x:c>
    </x:row>
    <x:row r="6" ht="15" hidden="0" customHeight="1">
      <x:c r="A6" s="22" t="str">
        <x:v>Q1 FY2027 actual, $bn</x:v>
      </x:c>
      <x:c r="B6" s="63" t="n">
        <x:f>Drivers!B8</x:f>
        <x:v>81.615</x:v>
      </x:c>
      <x:c r="C6" s="22" t="str">
        <x:v>S1/S2</x:v>
      </x:c>
      <x:c r="D6" s="22" t="str">
        <x:v>Reported</x:v>
      </x:c>
    </x:row>
    <x:row r="7" ht="15" hidden="0" customHeight="1">
      <x:c r="A7" s="22" t="str">
        <x:v>Q2 guide low, $bn</x:v>
      </x:c>
      <x:c r="B7" s="63" t="n">
        <x:f>Drivers!B9*(1-2%)</x:f>
        <x:v>89.17999999999999</x:v>
      </x:c>
      <x:c r="C7" s="22" t="str">
        <x:v>S2</x:v>
      </x:c>
      <x:c r="D7" s="22" t="str">
        <x:v>Midpoint less 2%</x:v>
      </x:c>
    </x:row>
    <x:row r="8" ht="15" hidden="0" customHeight="1">
      <x:c r="A8" s="22" t="str">
        <x:v>Q2 guide midpoint, $bn</x:v>
      </x:c>
      <x:c r="B8" s="63" t="n">
        <x:f>Drivers!B9</x:f>
        <x:v>91</x:v>
      </x:c>
      <x:c r="C8" s="22" t="str">
        <x:v>S2</x:v>
      </x:c>
      <x:c r="D8" s="22" t="str">
        <x:v>No China DC compute assumed</x:v>
      </x:c>
    </x:row>
    <x:row r="9" ht="15" hidden="0" customHeight="1">
      <x:c r="A9" s="22" t="str">
        <x:v>Q2 guide high, $bn</x:v>
      </x:c>
      <x:c r="B9" s="63" t="n">
        <x:f>Drivers!B9*(1+2%)</x:f>
        <x:v>92.82000000000001</x:v>
      </x:c>
      <x:c r="C9" s="22" t="str">
        <x:v>S2</x:v>
      </x:c>
      <x:c r="D9" s="22" t="str">
        <x:v>Midpoint plus 2%</x:v>
      </x:c>
    </x:row>
    <x:row r="10" ht="15" hidden="0" customHeight="1">
      <x:c r="A10" s="22" t="str">
        <x:v>Base FY2027 revenue, $bn</x:v>
      </x:c>
      <x:c r="B10" s="78" t="n">
        <x:f>Scenarios!B12</x:f>
        <x:v>380.878</x:v>
      </x:c>
      <x:c r="C10" s="22" t="str">
        <x:v>S7</x:v>
      </x:c>
      <x:c r="D10" s="22" t="str">
        <x:v>Analyst scenario</x:v>
      </x:c>
    </x:row>
    <x:row r="11" ht="15" hidden="0" customHeight="1">
      <x:c r="A11" s="22" t="str">
        <x:v>H2 required after Q1 + Q2 midpoint, $bn</x:v>
      </x:c>
      <x:c r="B11" s="78" t="n">
        <x:f>B10-B6-B8</x:f>
        <x:v>208.26299999999998</x:v>
      </x:c>
      <x:c r="C11" s="22" t="str">
        <x:v>Calc</x:v>
      </x:c>
      <x:c r="D11" s="22" t="str">
        <x:v>Two quarters</x:v>
      </x:c>
    </x:row>
    <x:row r="12" ht="15" hidden="0" customHeight="1">
      <x:c r="A12" s="22" t="str">
        <x:v>H2 required per quarter, $bn</x:v>
      </x:c>
      <x:c r="B12" s="78" t="n">
        <x:f>B11/2</x:f>
        <x:v>104.13149999999999</x:v>
      </x:c>
      <x:c r="C12" s="22" t="str">
        <x:v>Calc</x:v>
      </x:c>
      <x:c r="D12" s="22" t="str">
        <x:v>Run-rate</x:v>
      </x:c>
    </x:row>
    <x:row r="13" ht="15" hidden="0" customHeight="1">
      <x:c r="A13" s="22" t="str">
        <x:v>Required vs Q2 midpoint</x:v>
      </x:c>
      <x:c r="B13" s="79" t="n">
        <x:f>B12/B8-1</x:f>
        <x:v>0.14430219780219766</x:v>
      </x:c>
      <x:c r="C13" s="22" t="str">
        <x:v>Calc</x:v>
      </x:c>
      <x:c r="D13" s="22" t="str">
        <x:v>Sequential hurdle</x:v>
      </x:c>
    </x:row>
    <x:row r="14" ht="15" hidden="0" customHeight="1">
      <x:c r="A14" s="22" t="str">
        <x:v>Frozen Street FY2027 average, $bn</x:v>
      </x:c>
      <x:c r="B14" s="63" t="n">
        <x:v>393.652880225</x:v>
      </x:c>
      <x:c r="C14" s="22" t="str">
        <x:v>S6</x:v>
      </x:c>
      <x:c r="D14" s="22" t="str">
        <x:v>40-estimate aggregator</x:v>
      </x:c>
    </x:row>
    <x:row r="15" ht="15" hidden="0" customHeight="1">
      <x:c r="A15" s="22" t="str">
        <x:v>Frozen Street FY2027 low, $bn</x:v>
      </x:c>
      <x:c r="B15" s="63" t="n">
        <x:v>364.351823875</x:v>
      </x:c>
      <x:c r="C15" s="22" t="str">
        <x:v>S6</x:v>
      </x:c>
      <x:c r="D15" s="22" t="str">
        <x:v>Aggregator</x:v>
      </x:c>
    </x:row>
    <x:row r="16" ht="15" hidden="0" customHeight="1">
      <x:c r="A16" s="22" t="str">
        <x:v>Frozen Street FY2027 high, $bn</x:v>
      </x:c>
      <x:c r="B16" s="63" t="n">
        <x:v>402.782772175</x:v>
      </x:c>
      <x:c r="C16" s="22" t="str">
        <x:v>S6</x:v>
      </x:c>
      <x:c r="D16" s="22" t="str">
        <x:v>Aggregator</x:v>
      </x:c>
    </x:row>
    <x:row r="17"/>
    <x:row r="18"/>
    <x:row r="19" ht="15" hidden="0" customHeight="1">
      <x:c r="A19" s="19" t="str">
        <x:v>Current reporting framework</x:v>
      </x:c>
      <x:c r="B19" s="19" t="str">
        <x:v>Current reporting framework</x:v>
      </x:c>
      <x:c r="C19" s="19" t="str">
        <x:v>Current reporting framework</x:v>
      </x:c>
      <x:c r="D19" s="19" t="str">
        <x:v>Current reporting framework</x:v>
      </x:c>
    </x:row>
    <x:row r="20" ht="15" hidden="0" customHeight="1">
      <x:c r="A20" s="10" t="str">
        <x:v>Q1 total revenue</x:v>
      </x:c>
      <x:c r="B20" s="80" t="n">
        <x:v>81.615</x:v>
      </x:c>
      <x:c r="C20" s="10" t="str">
        <x:v>S1/S2</x:v>
      </x:c>
      <x:c r="D20" s="10" t="str">
        <x:v>Reported</x:v>
      </x:c>
    </x:row>
    <x:row r="21" ht="15" hidden="0" customHeight="1">
      <x:c r="A21" s="10" t="str">
        <x:v>Data Center</x:v>
      </x:c>
      <x:c r="B21" s="80" t="n">
        <x:v>75.246</x:v>
      </x:c>
      <x:c r="C21" s="10" t="str">
        <x:v>S1/S2</x:v>
      </x:c>
      <x:c r="D21" s="10" t="str">
        <x:v>Current market platform</x:v>
      </x:c>
    </x:row>
    <x:row r="22" ht="15" hidden="0" customHeight="1">
      <x:c r="A22" s="10" t="str">
        <x:v>Edge Computing</x:v>
      </x:c>
      <x:c r="B22" s="80" t="n">
        <x:v>6.369</x:v>
      </x:c>
      <x:c r="C22" s="10" t="str">
        <x:v>S1/S2</x:v>
      </x:c>
      <x:c r="D22" s="10" t="str">
        <x:v>Current market platform</x:v>
      </x:c>
    </x:row>
    <x:row r="23" ht="15" hidden="0" customHeight="1">
      <x:c r="A23" s="10" t="str">
        <x:v>Prior: Data Center compute</x:v>
      </x:c>
      <x:c r="B23" s="80" t="n">
        <x:v>60.4</x:v>
      </x:c>
      <x:c r="C23" s="10" t="str">
        <x:v>S2</x:v>
      </x:c>
      <x:c r="D23" s="10" t="str">
        <x:v>Prior sub-market, provided for transition</x:v>
      </x:c>
    </x:row>
    <x:row r="24" ht="15" hidden="0" customHeight="1">
      <x:c r="A24" s="10" t="str">
        <x:v>Prior: Data Center networking</x:v>
      </x:c>
      <x:c r="B24" s="80" t="n">
        <x:v>14.8</x:v>
      </x:c>
      <x:c r="C24" s="10" t="str">
        <x:v>S2</x:v>
      </x:c>
      <x:c r="D24" s="10" t="str">
        <x:v>Prior sub-market, provided for transition</x:v>
      </x:c>
    </x:row>
  </x:sheetData>
  <x:mergeCells>
    <x:mergeCell ref="A1:D1"/>
    <x:mergeCell ref="A2:D2"/>
    <x:mergeCell ref="A19:D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1.600000381469727" hidden="0" customHeight="1">
      <x:c r="A1" s="2" t="str">
        <x:v>Depreciation schedule</x:v>
      </x:c>
      <x:c r="B1" s="2" t="str">
        <x:v>Depreciation schedule</x:v>
      </x:c>
      <x:c r="C1" s="2" t="str">
        <x:v>Depreciation schedule</x:v>
      </x:c>
      <x:c r="D1" s="2" t="str">
        <x:v>Depreciation schedule</x:v>
      </x:c>
      <x:c r="E1" s="2" t="str">
        <x:v>Depreciation schedule</x:v>
      </x:c>
      <x:c r="F1" s="2" t="str">
        <x:v>Depreciation schedule</x:v>
      </x:c>
      <x:c r="G1" s="2" t="str">
        <x:v>Depreciation schedule</x:v>
      </x:c>
    </x:row>
    <x:row r="2" ht="15" hidden="0" customHeight="1">
      <x:c r="A2" s="5" t="str">
        <x:v>Opening D&amp;A runs off over five years; forecast capex is depreciated 60% over five years and 40% over twenty years with a half-year convention.</x:v>
      </x:c>
      <x:c r="B2" s="5" t="str">
        <x:v>Opening D&amp;A runs off over five years; forecast capex is depreciated 60% over five years and 40% over twenty years with a half-year convention.</x:v>
      </x:c>
      <x:c r="C2" s="5" t="str">
        <x:v>Opening D&amp;A runs off over five years; forecast capex is depreciated 60% over five years and 40% over twenty years with a half-year convention.</x:v>
      </x:c>
      <x:c r="D2" s="5" t="str">
        <x:v>Opening D&amp;A runs off over five years; forecast capex is depreciated 60% over five years and 40% over twenty years with a half-year convention.</x:v>
      </x:c>
      <x:c r="E2" s="5" t="str">
        <x:v>Opening D&amp;A runs off over five years; forecast capex is depreciated 60% over five years and 40% over twenty years with a half-year convention.</x:v>
      </x:c>
      <x:c r="F2" s="5" t="str">
        <x:v>Opening D&amp;A runs off over five years; forecast capex is depreciated 60% over five years and 40% over twenty years with a half-year convention.</x:v>
      </x:c>
      <x:c r="G2" s="5" t="str">
        <x:v>Opening D&amp;A runs off over five years; forecast capex is depreciated 60% over five years and 40% over twenty years with a half-year convention.</x:v>
      </x:c>
    </x:row>
    <x:row r="3" ht="15" hidden="0" customHeight="1">
      <x:c r="A3" s="26" t="str">
        <x:v>Fiscal year</x:v>
      </x:c>
      <x:c r="B3" s="26" t="n">
        <x:v>2027</x:v>
      </x:c>
      <x:c r="C3" s="26" t="n">
        <x:v>2028</x:v>
      </x:c>
      <x:c r="D3" s="26" t="n">
        <x:v>2029</x:v>
      </x:c>
      <x:c r="E3" s="26" t="n">
        <x:v>2030</x:v>
      </x:c>
      <x:c r="F3" s="26" t="n">
        <x:v>2031</x:v>
      </x:c>
      <x:c r="G3" s="26" t="n">
        <x:v>2032</x:v>
      </x:c>
    </x:row>
    <x:row r="4" ht="15" hidden="0" customHeight="1">
      <x:c r="A4" s="65" t="str">
        <x:v>BEAR D&amp;A</x:v>
      </x:c>
      <x:c r="B4" s="65" t="str">
        <x:v>BEAR D&amp;A</x:v>
      </x:c>
      <x:c r="C4" s="65" t="str">
        <x:v>BEAR D&amp;A</x:v>
      </x:c>
      <x:c r="D4" s="65" t="str">
        <x:v>BEAR D&amp;A</x:v>
      </x:c>
      <x:c r="E4" s="65" t="str">
        <x:v>BEAR D&amp;A</x:v>
      </x:c>
      <x:c r="F4" s="65" t="str">
        <x:v>BEAR D&amp;A</x:v>
      </x:c>
      <x:c r="G4" s="65" t="str">
        <x:v>BEAR D&amp;A</x:v>
      </x:c>
    </x:row>
    <x:row r="5" ht="15" hidden="0" customHeight="1">
      <x:c r="A5" s="10" t="str">
        <x:v>Opening D&amp;A runoff</x:v>
      </x:c>
      <x:c r="B5" s="80" t="n">
        <x:f>Drivers!$B$13*MAX(0,1-(B$3-2027)/Drivers!$B$34)</x:f>
        <x:v>3.229</x:v>
      </x:c>
      <x:c r="C5" s="80" t="n">
        <x:f>Drivers!$B$13*MAX(0,1-(C$3-2027)/Drivers!$B$34)</x:f>
        <x:v>2.5832</x:v>
      </x:c>
      <x:c r="D5" s="80" t="n">
        <x:f>Drivers!$B$13*MAX(0,1-(D$3-2027)/Drivers!$B$34)</x:f>
        <x:v>1.9374</x:v>
      </x:c>
      <x:c r="E5" s="80" t="n">
        <x:f>Drivers!$B$13*MAX(0,1-(E$3-2027)/Drivers!$B$34)</x:f>
        <x:v>1.2916</x:v>
      </x:c>
      <x:c r="F5" s="80" t="n">
        <x:f>Drivers!$B$13*MAX(0,1-(F$3-2027)/Drivers!$B$34)</x:f>
        <x:v>0.6457999999999999</x:v>
      </x:c>
      <x:c r="G5" s="80" t="n">
        <x:f>Drivers!$B$13*MAX(0,1-(G$3-2027)/Drivers!$B$34)</x:f>
        <x:v>0</x:v>
      </x:c>
    </x:row>
    <x:row r="6" ht="15" hidden="0" customHeight="1">
      <x:c r="A6" s="10" t="str">
        <x:v>Forecast capex</x:v>
      </x:c>
      <x:c r="B6" s="80" t="n">
        <x:f>Scenarios!B5*Scenarios!B7</x:f>
        <x:v>11.698890000000002</x:v>
      </x:c>
      <x:c r="C6" s="80" t="n">
        <x:f>Scenarios!C5*Scenarios!C7</x:f>
        <x:v>15.38497</x:v>
      </x:c>
      <x:c r="D6" s="80" t="n">
        <x:f>Scenarios!D5*Scenarios!D7</x:f>
        <x:v>17.402463</x:v>
      </x:c>
      <x:c r="E6" s="80" t="n">
        <x:f>Scenarios!E5*Scenarios!E7</x:f>
        <x:v>17.28208</x:v>
      </x:c>
      <x:c r="F6" s="80" t="n">
        <x:f>Scenarios!F5*Scenarios!F7</x:f>
        <x:v>15.49896</x:v>
      </x:c>
      <x:c r="G6" s="80" t="n">
        <x:f>Scenarios!G5*Scenarios!G7</x:f>
        <x:v>13.38892</x:v>
      </x:c>
    </x:row>
    <x:row r="7" ht="15" hidden="0" customHeight="1">
      <x:c r="A7" s="82" t="n">
        <x:v>2027</x:v>
      </x:c>
      <x:c r="B7" s="80" t="n">
        <x:f>IF(B$3&lt;$A7,0,B$6*(Drivers!$B$33/Drivers!$B$34*IF(B$3-$A7=0,0.5,IF(B$3-$A7&lt;Drivers!$B$34,1,IF(B$3-$A7=Drivers!$B$34,0.5,0)))+(1-Drivers!$B$33)/Drivers!$B$35*IF(B$3-$A7=0,0.5,IF(B$3-$A7&lt;Drivers!$B$35,1,IF(B$3-$A7=Drivers!$B$35,0.5,0)))))</x:f>
        <x:v>0.8189223000000001</x:v>
      </x:c>
      <x:c r="C7" s="80" t="n">
        <x:f>IF(C$3&lt;$A7,0,B$6*(Drivers!$B$33/Drivers!$B$34*IF(C$3-$A7=0,0.5,IF(C$3-$A7&lt;Drivers!$B$34,1,IF(C$3-$A7=Drivers!$B$34,0.5,0)))+(1-Drivers!$B$33)/Drivers!$B$35*IF(C$3-$A7=0,0.5,IF(C$3-$A7&lt;Drivers!$B$35,1,IF(C$3-$A7=Drivers!$B$35,0.5,0)))))</x:f>
        <x:v>1.6378446000000002</x:v>
      </x:c>
      <x:c r="D7" s="80" t="n">
        <x:f>IF(D$3&lt;$A7,0,B$6*(Drivers!$B$33/Drivers!$B$34*IF(D$3-$A7=0,0.5,IF(D$3-$A7&lt;Drivers!$B$34,1,IF(D$3-$A7=Drivers!$B$34,0.5,0)))+(1-Drivers!$B$33)/Drivers!$B$35*IF(D$3-$A7=0,0.5,IF(D$3-$A7&lt;Drivers!$B$35,1,IF(D$3-$A7=Drivers!$B$35,0.5,0)))))</x:f>
        <x:v>1.6378446000000002</x:v>
      </x:c>
      <x:c r="E7" s="80" t="n">
        <x:f>IF(E$3&lt;$A7,0,B$6*(Drivers!$B$33/Drivers!$B$34*IF(E$3-$A7=0,0.5,IF(E$3-$A7&lt;Drivers!$B$34,1,IF(E$3-$A7=Drivers!$B$34,0.5,0)))+(1-Drivers!$B$33)/Drivers!$B$35*IF(E$3-$A7=0,0.5,IF(E$3-$A7&lt;Drivers!$B$35,1,IF(E$3-$A7=Drivers!$B$35,0.5,0)))))</x:f>
        <x:v>1.6378446000000002</x:v>
      </x:c>
      <x:c r="F7" s="80" t="n">
        <x:f>IF(F$3&lt;$A7,0,B$6*(Drivers!$B$33/Drivers!$B$34*IF(F$3-$A7=0,0.5,IF(F$3-$A7&lt;Drivers!$B$34,1,IF(F$3-$A7=Drivers!$B$34,0.5,0)))+(1-Drivers!$B$33)/Drivers!$B$35*IF(F$3-$A7=0,0.5,IF(F$3-$A7&lt;Drivers!$B$35,1,IF(F$3-$A7=Drivers!$B$35,0.5,0)))))</x:f>
        <x:v>1.6378446000000002</x:v>
      </x:c>
      <x:c r="G7" s="80" t="n">
        <x:f>IF(G$3&lt;$A7,0,B$6*(Drivers!$B$33/Drivers!$B$34*IF(G$3-$A7=0,0.5,IF(G$3-$A7&lt;Drivers!$B$34,1,IF(G$3-$A7=Drivers!$B$34,0.5,0)))+(1-Drivers!$B$33)/Drivers!$B$35*IF(G$3-$A7=0,0.5,IF(G$3-$A7&lt;Drivers!$B$35,1,IF(G$3-$A7=Drivers!$B$35,0.5,0)))))</x:f>
        <x:v>0.9359112000000002</x:v>
      </x:c>
    </x:row>
    <x:row r="8" ht="15" hidden="0" customHeight="1">
      <x:c r="A8" s="82" t="n">
        <x:v>2028</x:v>
      </x:c>
      <x:c r="B8" s="80" t="n">
        <x:f>IF(B$3&lt;$A8,0,C$6*(Drivers!$B$33/Drivers!$B$34*IF(B$3-$A8=0,0.5,IF(B$3-$A8&lt;Drivers!$B$34,1,IF(B$3-$A8=Drivers!$B$34,0.5,0)))+(1-Drivers!$B$33)/Drivers!$B$35*IF(B$3-$A8=0,0.5,IF(B$3-$A8&lt;Drivers!$B$35,1,IF(B$3-$A8=Drivers!$B$35,0.5,0)))))</x:f>
        <x:v>0</x:v>
      </x:c>
      <x:c r="C8" s="80" t="n">
        <x:f>IF(C$3&lt;$A8,0,C$6*(Drivers!$B$33/Drivers!$B$34*IF(C$3-$A8=0,0.5,IF(C$3-$A8&lt;Drivers!$B$34,1,IF(C$3-$A8=Drivers!$B$34,0.5,0)))+(1-Drivers!$B$33)/Drivers!$B$35*IF(C$3-$A8=0,0.5,IF(C$3-$A8&lt;Drivers!$B$35,1,IF(C$3-$A8=Drivers!$B$35,0.5,0)))))</x:f>
        <x:v>1.0769478999999997</x:v>
      </x:c>
      <x:c r="D8" s="80" t="n">
        <x:f>IF(D$3&lt;$A8,0,C$6*(Drivers!$B$33/Drivers!$B$34*IF(D$3-$A8=0,0.5,IF(D$3-$A8&lt;Drivers!$B$34,1,IF(D$3-$A8=Drivers!$B$34,0.5,0)))+(1-Drivers!$B$33)/Drivers!$B$35*IF(D$3-$A8=0,0.5,IF(D$3-$A8&lt;Drivers!$B$35,1,IF(D$3-$A8=Drivers!$B$35,0.5,0)))))</x:f>
        <x:v>2.1538957999999995</x:v>
      </x:c>
      <x:c r="E8" s="80" t="n">
        <x:f>IF(E$3&lt;$A8,0,C$6*(Drivers!$B$33/Drivers!$B$34*IF(E$3-$A8=0,0.5,IF(E$3-$A8&lt;Drivers!$B$34,1,IF(E$3-$A8=Drivers!$B$34,0.5,0)))+(1-Drivers!$B$33)/Drivers!$B$35*IF(E$3-$A8=0,0.5,IF(E$3-$A8&lt;Drivers!$B$35,1,IF(E$3-$A8=Drivers!$B$35,0.5,0)))))</x:f>
        <x:v>2.1538957999999995</x:v>
      </x:c>
      <x:c r="F8" s="80" t="n">
        <x:f>IF(F$3&lt;$A8,0,C$6*(Drivers!$B$33/Drivers!$B$34*IF(F$3-$A8=0,0.5,IF(F$3-$A8&lt;Drivers!$B$34,1,IF(F$3-$A8=Drivers!$B$34,0.5,0)))+(1-Drivers!$B$33)/Drivers!$B$35*IF(F$3-$A8=0,0.5,IF(F$3-$A8&lt;Drivers!$B$35,1,IF(F$3-$A8=Drivers!$B$35,0.5,0)))))</x:f>
        <x:v>2.1538957999999995</x:v>
      </x:c>
      <x:c r="G8" s="80" t="n">
        <x:f>IF(G$3&lt;$A8,0,C$6*(Drivers!$B$33/Drivers!$B$34*IF(G$3-$A8=0,0.5,IF(G$3-$A8&lt;Drivers!$B$34,1,IF(G$3-$A8=Drivers!$B$34,0.5,0)))+(1-Drivers!$B$33)/Drivers!$B$35*IF(G$3-$A8=0,0.5,IF(G$3-$A8&lt;Drivers!$B$35,1,IF(G$3-$A8=Drivers!$B$35,0.5,0)))))</x:f>
        <x:v>2.1538957999999995</x:v>
      </x:c>
    </x:row>
    <x:row r="9" ht="15" hidden="0" customHeight="1">
      <x:c r="A9" s="82" t="n">
        <x:v>2029</x:v>
      </x:c>
      <x:c r="B9" s="80" t="n">
        <x:f>IF(B$3&lt;$A9,0,D$6*(Drivers!$B$33/Drivers!$B$34*IF(B$3-$A9=0,0.5,IF(B$3-$A9&lt;Drivers!$B$34,1,IF(B$3-$A9=Drivers!$B$34,0.5,0)))+(1-Drivers!$B$33)/Drivers!$B$35*IF(B$3-$A9=0,0.5,IF(B$3-$A9&lt;Drivers!$B$35,1,IF(B$3-$A9=Drivers!$B$35,0.5,0)))))</x:f>
        <x:v>0</x:v>
      </x:c>
      <x:c r="C9" s="80" t="n">
        <x:f>IF(C$3&lt;$A9,0,D$6*(Drivers!$B$33/Drivers!$B$34*IF(C$3-$A9=0,0.5,IF(C$3-$A9&lt;Drivers!$B$34,1,IF(C$3-$A9=Drivers!$B$34,0.5,0)))+(1-Drivers!$B$33)/Drivers!$B$35*IF(C$3-$A9=0,0.5,IF(C$3-$A9&lt;Drivers!$B$35,1,IF(C$3-$A9=Drivers!$B$35,0.5,0)))))</x:f>
        <x:v>0</x:v>
      </x:c>
      <x:c r="D9" s="80" t="n">
        <x:f>IF(D$3&lt;$A9,0,D$6*(Drivers!$B$33/Drivers!$B$34*IF(D$3-$A9=0,0.5,IF(D$3-$A9&lt;Drivers!$B$34,1,IF(D$3-$A9=Drivers!$B$34,0.5,0)))+(1-Drivers!$B$33)/Drivers!$B$35*IF(D$3-$A9=0,0.5,IF(D$3-$A9&lt;Drivers!$B$35,1,IF(D$3-$A9=Drivers!$B$35,0.5,0)))))</x:f>
        <x:v>1.21817241</x:v>
      </x:c>
      <x:c r="E9" s="80" t="n">
        <x:f>IF(E$3&lt;$A9,0,D$6*(Drivers!$B$33/Drivers!$B$34*IF(E$3-$A9=0,0.5,IF(E$3-$A9&lt;Drivers!$B$34,1,IF(E$3-$A9=Drivers!$B$34,0.5,0)))+(1-Drivers!$B$33)/Drivers!$B$35*IF(E$3-$A9=0,0.5,IF(E$3-$A9&lt;Drivers!$B$35,1,IF(E$3-$A9=Drivers!$B$35,0.5,0)))))</x:f>
        <x:v>2.43634482</x:v>
      </x:c>
      <x:c r="F9" s="80" t="n">
        <x:f>IF(F$3&lt;$A9,0,D$6*(Drivers!$B$33/Drivers!$B$34*IF(F$3-$A9=0,0.5,IF(F$3-$A9&lt;Drivers!$B$34,1,IF(F$3-$A9=Drivers!$B$34,0.5,0)))+(1-Drivers!$B$33)/Drivers!$B$35*IF(F$3-$A9=0,0.5,IF(F$3-$A9&lt;Drivers!$B$35,1,IF(F$3-$A9=Drivers!$B$35,0.5,0)))))</x:f>
        <x:v>2.43634482</x:v>
      </x:c>
      <x:c r="G9" s="80" t="n">
        <x:f>IF(G$3&lt;$A9,0,D$6*(Drivers!$B$33/Drivers!$B$34*IF(G$3-$A9=0,0.5,IF(G$3-$A9&lt;Drivers!$B$34,1,IF(G$3-$A9=Drivers!$B$34,0.5,0)))+(1-Drivers!$B$33)/Drivers!$B$35*IF(G$3-$A9=0,0.5,IF(G$3-$A9&lt;Drivers!$B$35,1,IF(G$3-$A9=Drivers!$B$35,0.5,0)))))</x:f>
        <x:v>2.43634482</x:v>
      </x:c>
    </x:row>
    <x:row r="10" ht="15" hidden="0" customHeight="1">
      <x:c r="A10" s="82" t="n">
        <x:v>2030</x:v>
      </x:c>
      <x:c r="B10" s="80" t="n">
        <x:f>IF(B$3&lt;$A10,0,E$6*(Drivers!$B$33/Drivers!$B$34*IF(B$3-$A10=0,0.5,IF(B$3-$A10&lt;Drivers!$B$34,1,IF(B$3-$A10=Drivers!$B$34,0.5,0)))+(1-Drivers!$B$33)/Drivers!$B$35*IF(B$3-$A10=0,0.5,IF(B$3-$A10&lt;Drivers!$B$35,1,IF(B$3-$A10=Drivers!$B$35,0.5,0)))))</x:f>
        <x:v>0</x:v>
      </x:c>
      <x:c r="C10" s="80" t="n">
        <x:f>IF(C$3&lt;$A10,0,E$6*(Drivers!$B$33/Drivers!$B$34*IF(C$3-$A10=0,0.5,IF(C$3-$A10&lt;Drivers!$B$34,1,IF(C$3-$A10=Drivers!$B$34,0.5,0)))+(1-Drivers!$B$33)/Drivers!$B$35*IF(C$3-$A10=0,0.5,IF(C$3-$A10&lt;Drivers!$B$35,1,IF(C$3-$A10=Drivers!$B$35,0.5,0)))))</x:f>
        <x:v>0</x:v>
      </x:c>
      <x:c r="D10" s="80" t="n">
        <x:f>IF(D$3&lt;$A10,0,E$6*(Drivers!$B$33/Drivers!$B$34*IF(D$3-$A10=0,0.5,IF(D$3-$A10&lt;Drivers!$B$34,1,IF(D$3-$A10=Drivers!$B$34,0.5,0)))+(1-Drivers!$B$33)/Drivers!$B$35*IF(D$3-$A10=0,0.5,IF(D$3-$A10&lt;Drivers!$B$35,1,IF(D$3-$A10=Drivers!$B$35,0.5,0)))))</x:f>
        <x:v>0</x:v>
      </x:c>
      <x:c r="E10" s="80" t="n">
        <x:f>IF(E$3&lt;$A10,0,E$6*(Drivers!$B$33/Drivers!$B$34*IF(E$3-$A10=0,0.5,IF(E$3-$A10&lt;Drivers!$B$34,1,IF(E$3-$A10=Drivers!$B$34,0.5,0)))+(1-Drivers!$B$33)/Drivers!$B$35*IF(E$3-$A10=0,0.5,IF(E$3-$A10&lt;Drivers!$B$35,1,IF(E$3-$A10=Drivers!$B$35,0.5,0)))))</x:f>
        <x:v>1.2097456</x:v>
      </x:c>
      <x:c r="F10" s="80" t="n">
        <x:f>IF(F$3&lt;$A10,0,E$6*(Drivers!$B$33/Drivers!$B$34*IF(F$3-$A10=0,0.5,IF(F$3-$A10&lt;Drivers!$B$34,1,IF(F$3-$A10=Drivers!$B$34,0.5,0)))+(1-Drivers!$B$33)/Drivers!$B$35*IF(F$3-$A10=0,0.5,IF(F$3-$A10&lt;Drivers!$B$35,1,IF(F$3-$A10=Drivers!$B$35,0.5,0)))))</x:f>
        <x:v>2.4194912</x:v>
      </x:c>
      <x:c r="G10" s="80" t="n">
        <x:f>IF(G$3&lt;$A10,0,E$6*(Drivers!$B$33/Drivers!$B$34*IF(G$3-$A10=0,0.5,IF(G$3-$A10&lt;Drivers!$B$34,1,IF(G$3-$A10=Drivers!$B$34,0.5,0)))+(1-Drivers!$B$33)/Drivers!$B$35*IF(G$3-$A10=0,0.5,IF(G$3-$A10&lt;Drivers!$B$35,1,IF(G$3-$A10=Drivers!$B$35,0.5,0)))))</x:f>
        <x:v>2.4194912</x:v>
      </x:c>
    </x:row>
    <x:row r="11" ht="15" hidden="0" customHeight="1">
      <x:c r="A11" s="82" t="n">
        <x:v>2031</x:v>
      </x:c>
      <x:c r="B11" s="80" t="n">
        <x:f>IF(B$3&lt;$A11,0,F$6*(Drivers!$B$33/Drivers!$B$34*IF(B$3-$A11=0,0.5,IF(B$3-$A11&lt;Drivers!$B$34,1,IF(B$3-$A11=Drivers!$B$34,0.5,0)))+(1-Drivers!$B$33)/Drivers!$B$35*IF(B$3-$A11=0,0.5,IF(B$3-$A11&lt;Drivers!$B$35,1,IF(B$3-$A11=Drivers!$B$35,0.5,0)))))</x:f>
        <x:v>0</x:v>
      </x:c>
      <x:c r="C11" s="80" t="n">
        <x:f>IF(C$3&lt;$A11,0,F$6*(Drivers!$B$33/Drivers!$B$34*IF(C$3-$A11=0,0.5,IF(C$3-$A11&lt;Drivers!$B$34,1,IF(C$3-$A11=Drivers!$B$34,0.5,0)))+(1-Drivers!$B$33)/Drivers!$B$35*IF(C$3-$A11=0,0.5,IF(C$3-$A11&lt;Drivers!$B$35,1,IF(C$3-$A11=Drivers!$B$35,0.5,0)))))</x:f>
        <x:v>0</x:v>
      </x:c>
      <x:c r="D11" s="80" t="n">
        <x:f>IF(D$3&lt;$A11,0,F$6*(Drivers!$B$33/Drivers!$B$34*IF(D$3-$A11=0,0.5,IF(D$3-$A11&lt;Drivers!$B$34,1,IF(D$3-$A11=Drivers!$B$34,0.5,0)))+(1-Drivers!$B$33)/Drivers!$B$35*IF(D$3-$A11=0,0.5,IF(D$3-$A11&lt;Drivers!$B$35,1,IF(D$3-$A11=Drivers!$B$35,0.5,0)))))</x:f>
        <x:v>0</x:v>
      </x:c>
      <x:c r="E11" s="80" t="n">
        <x:f>IF(E$3&lt;$A11,0,F$6*(Drivers!$B$33/Drivers!$B$34*IF(E$3-$A11=0,0.5,IF(E$3-$A11&lt;Drivers!$B$34,1,IF(E$3-$A11=Drivers!$B$34,0.5,0)))+(1-Drivers!$B$33)/Drivers!$B$35*IF(E$3-$A11=0,0.5,IF(E$3-$A11&lt;Drivers!$B$35,1,IF(E$3-$A11=Drivers!$B$35,0.5,0)))))</x:f>
        <x:v>0</x:v>
      </x:c>
      <x:c r="F11" s="80" t="n">
        <x:f>IF(F$3&lt;$A11,0,F$6*(Drivers!$B$33/Drivers!$B$34*IF(F$3-$A11=0,0.5,IF(F$3-$A11&lt;Drivers!$B$34,1,IF(F$3-$A11=Drivers!$B$34,0.5,0)))+(1-Drivers!$B$33)/Drivers!$B$35*IF(F$3-$A11=0,0.5,IF(F$3-$A11&lt;Drivers!$B$35,1,IF(F$3-$A11=Drivers!$B$35,0.5,0)))))</x:f>
        <x:v>1.0849271999999999</x:v>
      </x:c>
      <x:c r="G11" s="80" t="n">
        <x:f>IF(G$3&lt;$A11,0,F$6*(Drivers!$B$33/Drivers!$B$34*IF(G$3-$A11=0,0.5,IF(G$3-$A11&lt;Drivers!$B$34,1,IF(G$3-$A11=Drivers!$B$34,0.5,0)))+(1-Drivers!$B$33)/Drivers!$B$35*IF(G$3-$A11=0,0.5,IF(G$3-$A11&lt;Drivers!$B$35,1,IF(G$3-$A11=Drivers!$B$35,0.5,0)))))</x:f>
        <x:v>2.1698543999999997</x:v>
      </x:c>
    </x:row>
    <x:row r="12" ht="15" hidden="0" customHeight="1">
      <x:c r="A12" s="82" t="n">
        <x:v>2032</x:v>
      </x:c>
      <x:c r="B12" s="80" t="n">
        <x:f>IF(B$3&lt;$A12,0,G$6*(Drivers!$B$33/Drivers!$B$34*IF(B$3-$A12=0,0.5,IF(B$3-$A12&lt;Drivers!$B$34,1,IF(B$3-$A12=Drivers!$B$34,0.5,0)))+(1-Drivers!$B$33)/Drivers!$B$35*IF(B$3-$A12=0,0.5,IF(B$3-$A12&lt;Drivers!$B$35,1,IF(B$3-$A12=Drivers!$B$35,0.5,0)))))</x:f>
        <x:v>0</x:v>
      </x:c>
      <x:c r="C12" s="80" t="n">
        <x:f>IF(C$3&lt;$A12,0,G$6*(Drivers!$B$33/Drivers!$B$34*IF(C$3-$A12=0,0.5,IF(C$3-$A12&lt;Drivers!$B$34,1,IF(C$3-$A12=Drivers!$B$34,0.5,0)))+(1-Drivers!$B$33)/Drivers!$B$35*IF(C$3-$A12=0,0.5,IF(C$3-$A12&lt;Drivers!$B$35,1,IF(C$3-$A12=Drivers!$B$35,0.5,0)))))</x:f>
        <x:v>0</x:v>
      </x:c>
      <x:c r="D12" s="80" t="n">
        <x:f>IF(D$3&lt;$A12,0,G$6*(Drivers!$B$33/Drivers!$B$34*IF(D$3-$A12=0,0.5,IF(D$3-$A12&lt;Drivers!$B$34,1,IF(D$3-$A12=Drivers!$B$34,0.5,0)))+(1-Drivers!$B$33)/Drivers!$B$35*IF(D$3-$A12=0,0.5,IF(D$3-$A12&lt;Drivers!$B$35,1,IF(D$3-$A12=Drivers!$B$35,0.5,0)))))</x:f>
        <x:v>0</x:v>
      </x:c>
      <x:c r="E12" s="80" t="n">
        <x:f>IF(E$3&lt;$A12,0,G$6*(Drivers!$B$33/Drivers!$B$34*IF(E$3-$A12=0,0.5,IF(E$3-$A12&lt;Drivers!$B$34,1,IF(E$3-$A12=Drivers!$B$34,0.5,0)))+(1-Drivers!$B$33)/Drivers!$B$35*IF(E$3-$A12=0,0.5,IF(E$3-$A12&lt;Drivers!$B$35,1,IF(E$3-$A12=Drivers!$B$35,0.5,0)))))</x:f>
        <x:v>0</x:v>
      </x:c>
      <x:c r="F12" s="80" t="n">
        <x:f>IF(F$3&lt;$A12,0,G$6*(Drivers!$B$33/Drivers!$B$34*IF(F$3-$A12=0,0.5,IF(F$3-$A12&lt;Drivers!$B$34,1,IF(F$3-$A12=Drivers!$B$34,0.5,0)))+(1-Drivers!$B$33)/Drivers!$B$35*IF(F$3-$A12=0,0.5,IF(F$3-$A12&lt;Drivers!$B$35,1,IF(F$3-$A12=Drivers!$B$35,0.5,0)))))</x:f>
        <x:v>0</x:v>
      </x:c>
      <x:c r="G12" s="80" t="n">
        <x:f>IF(G$3&lt;$A12,0,G$6*(Drivers!$B$33/Drivers!$B$34*IF(G$3-$A12=0,0.5,IF(G$3-$A12&lt;Drivers!$B$34,1,IF(G$3-$A12=Drivers!$B$34,0.5,0)))+(1-Drivers!$B$33)/Drivers!$B$35*IF(G$3-$A12=0,0.5,IF(G$3-$A12&lt;Drivers!$B$35,1,IF(G$3-$A12=Drivers!$B$35,0.5,0)))))</x:f>
        <x:v>0.9372244</x:v>
      </x:c>
    </x:row>
    <x:row r="13" ht="15" hidden="0" customHeight="1">
      <x:c r="A13" s="83" t="str">
        <x:v>Total D&amp;A</x:v>
      </x:c>
      <x:c r="B13" s="84" t="n">
        <x:f>SUM(B5,B7:B12)</x:f>
        <x:v>4.0479223</x:v>
      </x:c>
      <x:c r="C13" s="84" t="n">
        <x:f>SUM(C5,C7:C12)</x:f>
        <x:v>5.297992499999999</x:v>
      </x:c>
      <x:c r="D13" s="84" t="n">
        <x:f>SUM(D5,D7:D12)</x:f>
        <x:v>6.94731281</x:v>
      </x:c>
      <x:c r="E13" s="84" t="n">
        <x:f>SUM(E5,E7:E12)</x:f>
        <x:v>8.72943082</x:v>
      </x:c>
      <x:c r="F13" s="84" t="n">
        <x:f>SUM(F5,F7:F12)</x:f>
        <x:v>10.378303619999999</x:v>
      </x:c>
      <x:c r="G13" s="84" t="n">
        <x:f>SUM(G5,G7:G12)</x:f>
        <x:v>11.052721819999999</x:v>
      </x:c>
    </x:row>
    <x:row r="14"/>
    <x:row r="15"/>
    <x:row r="16" ht="15" hidden="0" customHeight="1">
      <x:c r="A16" s="68" t="str">
        <x:v>BASE D&amp;A</x:v>
      </x:c>
      <x:c r="B16" s="68" t="str">
        <x:v>BASE D&amp;A</x:v>
      </x:c>
      <x:c r="C16" s="68" t="str">
        <x:v>BASE D&amp;A</x:v>
      </x:c>
      <x:c r="D16" s="68" t="str">
        <x:v>BASE D&amp;A</x:v>
      </x:c>
      <x:c r="E16" s="68" t="str">
        <x:v>BASE D&amp;A</x:v>
      </x:c>
      <x:c r="F16" s="68" t="str">
        <x:v>BASE D&amp;A</x:v>
      </x:c>
      <x:c r="G16" s="68" t="str">
        <x:v>BASE D&amp;A</x:v>
      </x:c>
    </x:row>
    <x:row r="17" ht="15" hidden="0" customHeight="1">
      <x:c r="A17" s="10" t="str">
        <x:v>Opening D&amp;A runoff</x:v>
      </x:c>
      <x:c r="B17" s="80" t="n">
        <x:f>Drivers!$B$13*MAX(0,1-(B$3-2027)/Drivers!$B$34)</x:f>
        <x:v>3.229</x:v>
      </x:c>
      <x:c r="C17" s="80" t="n">
        <x:f>Drivers!$B$13*MAX(0,1-(C$3-2027)/Drivers!$B$34)</x:f>
        <x:v>2.5832</x:v>
      </x:c>
      <x:c r="D17" s="80" t="n">
        <x:f>Drivers!$B$13*MAX(0,1-(D$3-2027)/Drivers!$B$34)</x:f>
        <x:v>1.9374</x:v>
      </x:c>
      <x:c r="E17" s="80" t="n">
        <x:f>Drivers!$B$13*MAX(0,1-(E$3-2027)/Drivers!$B$34)</x:f>
        <x:v>1.2916</x:v>
      </x:c>
      <x:c r="F17" s="80" t="n">
        <x:f>Drivers!$B$13*MAX(0,1-(F$3-2027)/Drivers!$B$34)</x:f>
        <x:v>0.6457999999999999</x:v>
      </x:c>
      <x:c r="G17" s="80" t="n">
        <x:f>Drivers!$B$13*MAX(0,1-(G$3-2027)/Drivers!$B$34)</x:f>
        <x:v>0</x:v>
      </x:c>
    </x:row>
    <x:row r="18" ht="15" hidden="0" customHeight="1">
      <x:c r="A18" s="10" t="str">
        <x:v>Forecast capex</x:v>
      </x:c>
      <x:c r="B18" s="80" t="n">
        <x:f>Scenarios!B12*Scenarios!B14</x:f>
        <x:v>11.42634</x:v>
      </x:c>
      <x:c r="C18" s="80" t="n">
        <x:f>Scenarios!C12*Scenarios!C14</x:f>
        <x:v>17.660064</x:v>
      </x:c>
      <x:c r="D18" s="80" t="n">
        <x:f>Scenarios!D12*Scenarios!D14</x:f>
        <x:v>23.764606</x:v>
      </x:c>
      <x:c r="E18" s="80" t="n">
        <x:f>Scenarios!E12*Scenarios!E14</x:f>
        <x:v>28.191240000000004</x:v>
      </x:c>
      <x:c r="F18" s="80" t="n">
        <x:f>Scenarios!F12*Scenarios!F14</x:f>
        <x:v>30.190475000000003</x:v>
      </x:c>
      <x:c r="G18" s="80" t="n">
        <x:f>Scenarios!G12*Scenarios!G14</x:f>
        <x:v>31.131065</x:v>
      </x:c>
    </x:row>
    <x:row r="19" ht="15" hidden="0" customHeight="1">
      <x:c r="A19" s="82" t="n">
        <x:v>2027</x:v>
      </x:c>
      <x:c r="B19" s="80" t="n">
        <x:f>IF(B$3&lt;$A19,0,B$18*(Drivers!$B$33/Drivers!$B$34*IF(B$3-$A19=0,0.5,IF(B$3-$A19&lt;Drivers!$B$34,1,IF(B$3-$A19=Drivers!$B$34,0.5,0)))+(1-Drivers!$B$33)/Drivers!$B$35*IF(B$3-$A19=0,0.5,IF(B$3-$A19&lt;Drivers!$B$35,1,IF(B$3-$A19=Drivers!$B$35,0.5,0)))))</x:f>
        <x:v>0.7998437999999999</x:v>
      </x:c>
      <x:c r="C19" s="80" t="n">
        <x:f>IF(C$3&lt;$A19,0,B$18*(Drivers!$B$33/Drivers!$B$34*IF(C$3-$A19=0,0.5,IF(C$3-$A19&lt;Drivers!$B$34,1,IF(C$3-$A19=Drivers!$B$34,0.5,0)))+(1-Drivers!$B$33)/Drivers!$B$35*IF(C$3-$A19=0,0.5,IF(C$3-$A19&lt;Drivers!$B$35,1,IF(C$3-$A19=Drivers!$B$35,0.5,0)))))</x:f>
        <x:v>1.5996875999999998</x:v>
      </x:c>
      <x:c r="D19" s="80" t="n">
        <x:f>IF(D$3&lt;$A19,0,B$18*(Drivers!$B$33/Drivers!$B$34*IF(D$3-$A19=0,0.5,IF(D$3-$A19&lt;Drivers!$B$34,1,IF(D$3-$A19=Drivers!$B$34,0.5,0)))+(1-Drivers!$B$33)/Drivers!$B$35*IF(D$3-$A19=0,0.5,IF(D$3-$A19&lt;Drivers!$B$35,1,IF(D$3-$A19=Drivers!$B$35,0.5,0)))))</x:f>
        <x:v>1.5996875999999998</x:v>
      </x:c>
      <x:c r="E19" s="80" t="n">
        <x:f>IF(E$3&lt;$A19,0,B$18*(Drivers!$B$33/Drivers!$B$34*IF(E$3-$A19=0,0.5,IF(E$3-$A19&lt;Drivers!$B$34,1,IF(E$3-$A19=Drivers!$B$34,0.5,0)))+(1-Drivers!$B$33)/Drivers!$B$35*IF(E$3-$A19=0,0.5,IF(E$3-$A19&lt;Drivers!$B$35,1,IF(E$3-$A19=Drivers!$B$35,0.5,0)))))</x:f>
        <x:v>1.5996875999999998</x:v>
      </x:c>
      <x:c r="F19" s="80" t="n">
        <x:f>IF(F$3&lt;$A19,0,B$18*(Drivers!$B$33/Drivers!$B$34*IF(F$3-$A19=0,0.5,IF(F$3-$A19&lt;Drivers!$B$34,1,IF(F$3-$A19=Drivers!$B$34,0.5,0)))+(1-Drivers!$B$33)/Drivers!$B$35*IF(F$3-$A19=0,0.5,IF(F$3-$A19&lt;Drivers!$B$35,1,IF(F$3-$A19=Drivers!$B$35,0.5,0)))))</x:f>
        <x:v>1.5996875999999998</x:v>
      </x:c>
      <x:c r="G19" s="80" t="n">
        <x:f>IF(G$3&lt;$A19,0,B$18*(Drivers!$B$33/Drivers!$B$34*IF(G$3-$A19=0,0.5,IF(G$3-$A19&lt;Drivers!$B$34,1,IF(G$3-$A19=Drivers!$B$34,0.5,0)))+(1-Drivers!$B$33)/Drivers!$B$35*IF(G$3-$A19=0,0.5,IF(G$3-$A19&lt;Drivers!$B$35,1,IF(G$3-$A19=Drivers!$B$35,0.5,0)))))</x:f>
        <x:v>0.9141072</x:v>
      </x:c>
    </x:row>
    <x:row r="20" ht="15" hidden="0" customHeight="1">
      <x:c r="A20" s="82" t="n">
        <x:v>2028</x:v>
      </x:c>
      <x:c r="B20" s="80" t="n">
        <x:f>IF(B$3&lt;$A20,0,C$18*(Drivers!$B$33/Drivers!$B$34*IF(B$3-$A20=0,0.5,IF(B$3-$A20&lt;Drivers!$B$34,1,IF(B$3-$A20=Drivers!$B$34,0.5,0)))+(1-Drivers!$B$33)/Drivers!$B$35*IF(B$3-$A20=0,0.5,IF(B$3-$A20&lt;Drivers!$B$35,1,IF(B$3-$A20=Drivers!$B$35,0.5,0)))))</x:f>
        <x:v>0</x:v>
      </x:c>
      <x:c r="C20" s="80" t="n">
        <x:f>IF(C$3&lt;$A20,0,C$18*(Drivers!$B$33/Drivers!$B$34*IF(C$3-$A20=0,0.5,IF(C$3-$A20&lt;Drivers!$B$34,1,IF(C$3-$A20=Drivers!$B$34,0.5,0)))+(1-Drivers!$B$33)/Drivers!$B$35*IF(C$3-$A20=0,0.5,IF(C$3-$A20&lt;Drivers!$B$35,1,IF(C$3-$A20=Drivers!$B$35,0.5,0)))))</x:f>
        <x:v>1.2362044799999998</x:v>
      </x:c>
      <x:c r="D20" s="80" t="n">
        <x:f>IF(D$3&lt;$A20,0,C$18*(Drivers!$B$33/Drivers!$B$34*IF(D$3-$A20=0,0.5,IF(D$3-$A20&lt;Drivers!$B$34,1,IF(D$3-$A20=Drivers!$B$34,0.5,0)))+(1-Drivers!$B$33)/Drivers!$B$35*IF(D$3-$A20=0,0.5,IF(D$3-$A20&lt;Drivers!$B$35,1,IF(D$3-$A20=Drivers!$B$35,0.5,0)))))</x:f>
        <x:v>2.4724089599999997</x:v>
      </x:c>
      <x:c r="E20" s="80" t="n">
        <x:f>IF(E$3&lt;$A20,0,C$18*(Drivers!$B$33/Drivers!$B$34*IF(E$3-$A20=0,0.5,IF(E$3-$A20&lt;Drivers!$B$34,1,IF(E$3-$A20=Drivers!$B$34,0.5,0)))+(1-Drivers!$B$33)/Drivers!$B$35*IF(E$3-$A20=0,0.5,IF(E$3-$A20&lt;Drivers!$B$35,1,IF(E$3-$A20=Drivers!$B$35,0.5,0)))))</x:f>
        <x:v>2.4724089599999997</x:v>
      </x:c>
      <x:c r="F20" s="80" t="n">
        <x:f>IF(F$3&lt;$A20,0,C$18*(Drivers!$B$33/Drivers!$B$34*IF(F$3-$A20=0,0.5,IF(F$3-$A20&lt;Drivers!$B$34,1,IF(F$3-$A20=Drivers!$B$34,0.5,0)))+(1-Drivers!$B$33)/Drivers!$B$35*IF(F$3-$A20=0,0.5,IF(F$3-$A20&lt;Drivers!$B$35,1,IF(F$3-$A20=Drivers!$B$35,0.5,0)))))</x:f>
        <x:v>2.4724089599999997</x:v>
      </x:c>
      <x:c r="G20" s="80" t="n">
        <x:f>IF(G$3&lt;$A20,0,C$18*(Drivers!$B$33/Drivers!$B$34*IF(G$3-$A20=0,0.5,IF(G$3-$A20&lt;Drivers!$B$34,1,IF(G$3-$A20=Drivers!$B$34,0.5,0)))+(1-Drivers!$B$33)/Drivers!$B$35*IF(G$3-$A20=0,0.5,IF(G$3-$A20&lt;Drivers!$B$35,1,IF(G$3-$A20=Drivers!$B$35,0.5,0)))))</x:f>
        <x:v>2.4724089599999997</x:v>
      </x:c>
    </x:row>
    <x:row r="21" ht="15" hidden="0" customHeight="1">
      <x:c r="A21" s="82" t="n">
        <x:v>2029</x:v>
      </x:c>
      <x:c r="B21" s="80" t="n">
        <x:f>IF(B$3&lt;$A21,0,D$18*(Drivers!$B$33/Drivers!$B$34*IF(B$3-$A21=0,0.5,IF(B$3-$A21&lt;Drivers!$B$34,1,IF(B$3-$A21=Drivers!$B$34,0.5,0)))+(1-Drivers!$B$33)/Drivers!$B$35*IF(B$3-$A21=0,0.5,IF(B$3-$A21&lt;Drivers!$B$35,1,IF(B$3-$A21=Drivers!$B$35,0.5,0)))))</x:f>
        <x:v>0</x:v>
      </x:c>
      <x:c r="C21" s="80" t="n">
        <x:f>IF(C$3&lt;$A21,0,D$18*(Drivers!$B$33/Drivers!$B$34*IF(C$3-$A21=0,0.5,IF(C$3-$A21&lt;Drivers!$B$34,1,IF(C$3-$A21=Drivers!$B$34,0.5,0)))+(1-Drivers!$B$33)/Drivers!$B$35*IF(C$3-$A21=0,0.5,IF(C$3-$A21&lt;Drivers!$B$35,1,IF(C$3-$A21=Drivers!$B$35,0.5,0)))))</x:f>
        <x:v>0</x:v>
      </x:c>
      <x:c r="D21" s="80" t="n">
        <x:f>IF(D$3&lt;$A21,0,D$18*(Drivers!$B$33/Drivers!$B$34*IF(D$3-$A21=0,0.5,IF(D$3-$A21&lt;Drivers!$B$34,1,IF(D$3-$A21=Drivers!$B$34,0.5,0)))+(1-Drivers!$B$33)/Drivers!$B$35*IF(D$3-$A21=0,0.5,IF(D$3-$A21&lt;Drivers!$B$35,1,IF(D$3-$A21=Drivers!$B$35,0.5,0)))))</x:f>
        <x:v>1.6635224199999998</x:v>
      </x:c>
      <x:c r="E21" s="80" t="n">
        <x:f>IF(E$3&lt;$A21,0,D$18*(Drivers!$B$33/Drivers!$B$34*IF(E$3-$A21=0,0.5,IF(E$3-$A21&lt;Drivers!$B$34,1,IF(E$3-$A21=Drivers!$B$34,0.5,0)))+(1-Drivers!$B$33)/Drivers!$B$35*IF(E$3-$A21=0,0.5,IF(E$3-$A21&lt;Drivers!$B$35,1,IF(E$3-$A21=Drivers!$B$35,0.5,0)))))</x:f>
        <x:v>3.3270448399999997</x:v>
      </x:c>
      <x:c r="F21" s="80" t="n">
        <x:f>IF(F$3&lt;$A21,0,D$18*(Drivers!$B$33/Drivers!$B$34*IF(F$3-$A21=0,0.5,IF(F$3-$A21&lt;Drivers!$B$34,1,IF(F$3-$A21=Drivers!$B$34,0.5,0)))+(1-Drivers!$B$33)/Drivers!$B$35*IF(F$3-$A21=0,0.5,IF(F$3-$A21&lt;Drivers!$B$35,1,IF(F$3-$A21=Drivers!$B$35,0.5,0)))))</x:f>
        <x:v>3.3270448399999997</x:v>
      </x:c>
      <x:c r="G21" s="80" t="n">
        <x:f>IF(G$3&lt;$A21,0,D$18*(Drivers!$B$33/Drivers!$B$34*IF(G$3-$A21=0,0.5,IF(G$3-$A21&lt;Drivers!$B$34,1,IF(G$3-$A21=Drivers!$B$34,0.5,0)))+(1-Drivers!$B$33)/Drivers!$B$35*IF(G$3-$A21=0,0.5,IF(G$3-$A21&lt;Drivers!$B$35,1,IF(G$3-$A21=Drivers!$B$35,0.5,0)))))</x:f>
        <x:v>3.3270448399999997</x:v>
      </x:c>
    </x:row>
    <x:row r="22" ht="15" hidden="0" customHeight="1">
      <x:c r="A22" s="82" t="n">
        <x:v>2030</x:v>
      </x:c>
      <x:c r="B22" s="80" t="n">
        <x:f>IF(B$3&lt;$A22,0,E$18*(Drivers!$B$33/Drivers!$B$34*IF(B$3-$A22=0,0.5,IF(B$3-$A22&lt;Drivers!$B$34,1,IF(B$3-$A22=Drivers!$B$34,0.5,0)))+(1-Drivers!$B$33)/Drivers!$B$35*IF(B$3-$A22=0,0.5,IF(B$3-$A22&lt;Drivers!$B$35,1,IF(B$3-$A22=Drivers!$B$35,0.5,0)))))</x:f>
        <x:v>0</x:v>
      </x:c>
      <x:c r="C22" s="80" t="n">
        <x:f>IF(C$3&lt;$A22,0,E$18*(Drivers!$B$33/Drivers!$B$34*IF(C$3-$A22=0,0.5,IF(C$3-$A22&lt;Drivers!$B$34,1,IF(C$3-$A22=Drivers!$B$34,0.5,0)))+(1-Drivers!$B$33)/Drivers!$B$35*IF(C$3-$A22=0,0.5,IF(C$3-$A22&lt;Drivers!$B$35,1,IF(C$3-$A22=Drivers!$B$35,0.5,0)))))</x:f>
        <x:v>0</x:v>
      </x:c>
      <x:c r="D22" s="80" t="n">
        <x:f>IF(D$3&lt;$A22,0,E$18*(Drivers!$B$33/Drivers!$B$34*IF(D$3-$A22=0,0.5,IF(D$3-$A22&lt;Drivers!$B$34,1,IF(D$3-$A22=Drivers!$B$34,0.5,0)))+(1-Drivers!$B$33)/Drivers!$B$35*IF(D$3-$A22=0,0.5,IF(D$3-$A22&lt;Drivers!$B$35,1,IF(D$3-$A22=Drivers!$B$35,0.5,0)))))</x:f>
        <x:v>0</x:v>
      </x:c>
      <x:c r="E22" s="80" t="n">
        <x:f>IF(E$3&lt;$A22,0,E$18*(Drivers!$B$33/Drivers!$B$34*IF(E$3-$A22=0,0.5,IF(E$3-$A22&lt;Drivers!$B$34,1,IF(E$3-$A22=Drivers!$B$34,0.5,0)))+(1-Drivers!$B$33)/Drivers!$B$35*IF(E$3-$A22=0,0.5,IF(E$3-$A22&lt;Drivers!$B$35,1,IF(E$3-$A22=Drivers!$B$35,0.5,0)))))</x:f>
        <x:v>1.9733868</x:v>
      </x:c>
      <x:c r="F22" s="80" t="n">
        <x:f>IF(F$3&lt;$A22,0,E$18*(Drivers!$B$33/Drivers!$B$34*IF(F$3-$A22=0,0.5,IF(F$3-$A22&lt;Drivers!$B$34,1,IF(F$3-$A22=Drivers!$B$34,0.5,0)))+(1-Drivers!$B$33)/Drivers!$B$35*IF(F$3-$A22=0,0.5,IF(F$3-$A22&lt;Drivers!$B$35,1,IF(F$3-$A22=Drivers!$B$35,0.5,0)))))</x:f>
        <x:v>3.9467736</x:v>
      </x:c>
      <x:c r="G22" s="80" t="n">
        <x:f>IF(G$3&lt;$A22,0,E$18*(Drivers!$B$33/Drivers!$B$34*IF(G$3-$A22=0,0.5,IF(G$3-$A22&lt;Drivers!$B$34,1,IF(G$3-$A22=Drivers!$B$34,0.5,0)))+(1-Drivers!$B$33)/Drivers!$B$35*IF(G$3-$A22=0,0.5,IF(G$3-$A22&lt;Drivers!$B$35,1,IF(G$3-$A22=Drivers!$B$35,0.5,0)))))</x:f>
        <x:v>3.9467736</x:v>
      </x:c>
    </x:row>
    <x:row r="23" ht="15" hidden="0" customHeight="1">
      <x:c r="A23" s="82" t="n">
        <x:v>2031</x:v>
      </x:c>
      <x:c r="B23" s="80" t="n">
        <x:f>IF(B$3&lt;$A23,0,F$18*(Drivers!$B$33/Drivers!$B$34*IF(B$3-$A23=0,0.5,IF(B$3-$A23&lt;Drivers!$B$34,1,IF(B$3-$A23=Drivers!$B$34,0.5,0)))+(1-Drivers!$B$33)/Drivers!$B$35*IF(B$3-$A23=0,0.5,IF(B$3-$A23&lt;Drivers!$B$35,1,IF(B$3-$A23=Drivers!$B$35,0.5,0)))))</x:f>
        <x:v>0</x:v>
      </x:c>
      <x:c r="C23" s="80" t="n">
        <x:f>IF(C$3&lt;$A23,0,F$18*(Drivers!$B$33/Drivers!$B$34*IF(C$3-$A23=0,0.5,IF(C$3-$A23&lt;Drivers!$B$34,1,IF(C$3-$A23=Drivers!$B$34,0.5,0)))+(1-Drivers!$B$33)/Drivers!$B$35*IF(C$3-$A23=0,0.5,IF(C$3-$A23&lt;Drivers!$B$35,1,IF(C$3-$A23=Drivers!$B$35,0.5,0)))))</x:f>
        <x:v>0</x:v>
      </x:c>
      <x:c r="D23" s="80" t="n">
        <x:f>IF(D$3&lt;$A23,0,F$18*(Drivers!$B$33/Drivers!$B$34*IF(D$3-$A23=0,0.5,IF(D$3-$A23&lt;Drivers!$B$34,1,IF(D$3-$A23=Drivers!$B$34,0.5,0)))+(1-Drivers!$B$33)/Drivers!$B$35*IF(D$3-$A23=0,0.5,IF(D$3-$A23&lt;Drivers!$B$35,1,IF(D$3-$A23=Drivers!$B$35,0.5,0)))))</x:f>
        <x:v>0</x:v>
      </x:c>
      <x:c r="E23" s="80" t="n">
        <x:f>IF(E$3&lt;$A23,0,F$18*(Drivers!$B$33/Drivers!$B$34*IF(E$3-$A23=0,0.5,IF(E$3-$A23&lt;Drivers!$B$34,1,IF(E$3-$A23=Drivers!$B$34,0.5,0)))+(1-Drivers!$B$33)/Drivers!$B$35*IF(E$3-$A23=0,0.5,IF(E$3-$A23&lt;Drivers!$B$35,1,IF(E$3-$A23=Drivers!$B$35,0.5,0)))))</x:f>
        <x:v>0</x:v>
      </x:c>
      <x:c r="F23" s="80" t="n">
        <x:f>IF(F$3&lt;$A23,0,F$18*(Drivers!$B$33/Drivers!$B$34*IF(F$3-$A23=0,0.5,IF(F$3-$A23&lt;Drivers!$B$34,1,IF(F$3-$A23=Drivers!$B$34,0.5,0)))+(1-Drivers!$B$33)/Drivers!$B$35*IF(F$3-$A23=0,0.5,IF(F$3-$A23&lt;Drivers!$B$35,1,IF(F$3-$A23=Drivers!$B$35,0.5,0)))))</x:f>
        <x:v>2.11333325</x:v>
      </x:c>
      <x:c r="G23" s="80" t="n">
        <x:f>IF(G$3&lt;$A23,0,F$18*(Drivers!$B$33/Drivers!$B$34*IF(G$3-$A23=0,0.5,IF(G$3-$A23&lt;Drivers!$B$34,1,IF(G$3-$A23=Drivers!$B$34,0.5,0)))+(1-Drivers!$B$33)/Drivers!$B$35*IF(G$3-$A23=0,0.5,IF(G$3-$A23&lt;Drivers!$B$35,1,IF(G$3-$A23=Drivers!$B$35,0.5,0)))))</x:f>
        <x:v>4.2266665</x:v>
      </x:c>
    </x:row>
    <x:row r="24" ht="15" hidden="0" customHeight="1">
      <x:c r="A24" s="82" t="n">
        <x:v>2032</x:v>
      </x:c>
      <x:c r="B24" s="80" t="n">
        <x:f>IF(B$3&lt;$A24,0,G$18*(Drivers!$B$33/Drivers!$B$34*IF(B$3-$A24=0,0.5,IF(B$3-$A24&lt;Drivers!$B$34,1,IF(B$3-$A24=Drivers!$B$34,0.5,0)))+(1-Drivers!$B$33)/Drivers!$B$35*IF(B$3-$A24=0,0.5,IF(B$3-$A24&lt;Drivers!$B$35,1,IF(B$3-$A24=Drivers!$B$35,0.5,0)))))</x:f>
        <x:v>0</x:v>
      </x:c>
      <x:c r="C24" s="80" t="n">
        <x:f>IF(C$3&lt;$A24,0,G$18*(Drivers!$B$33/Drivers!$B$34*IF(C$3-$A24=0,0.5,IF(C$3-$A24&lt;Drivers!$B$34,1,IF(C$3-$A24=Drivers!$B$34,0.5,0)))+(1-Drivers!$B$33)/Drivers!$B$35*IF(C$3-$A24=0,0.5,IF(C$3-$A24&lt;Drivers!$B$35,1,IF(C$3-$A24=Drivers!$B$35,0.5,0)))))</x:f>
        <x:v>0</x:v>
      </x:c>
      <x:c r="D24" s="80" t="n">
        <x:f>IF(D$3&lt;$A24,0,G$18*(Drivers!$B$33/Drivers!$B$34*IF(D$3-$A24=0,0.5,IF(D$3-$A24&lt;Drivers!$B$34,1,IF(D$3-$A24=Drivers!$B$34,0.5,0)))+(1-Drivers!$B$33)/Drivers!$B$35*IF(D$3-$A24=0,0.5,IF(D$3-$A24&lt;Drivers!$B$35,1,IF(D$3-$A24=Drivers!$B$35,0.5,0)))))</x:f>
        <x:v>0</x:v>
      </x:c>
      <x:c r="E24" s="80" t="n">
        <x:f>IF(E$3&lt;$A24,0,G$18*(Drivers!$B$33/Drivers!$B$34*IF(E$3-$A24=0,0.5,IF(E$3-$A24&lt;Drivers!$B$34,1,IF(E$3-$A24=Drivers!$B$34,0.5,0)))+(1-Drivers!$B$33)/Drivers!$B$35*IF(E$3-$A24=0,0.5,IF(E$3-$A24&lt;Drivers!$B$35,1,IF(E$3-$A24=Drivers!$B$35,0.5,0)))))</x:f>
        <x:v>0</x:v>
      </x:c>
      <x:c r="F24" s="80" t="n">
        <x:f>IF(F$3&lt;$A24,0,G$18*(Drivers!$B$33/Drivers!$B$34*IF(F$3-$A24=0,0.5,IF(F$3-$A24&lt;Drivers!$B$34,1,IF(F$3-$A24=Drivers!$B$34,0.5,0)))+(1-Drivers!$B$33)/Drivers!$B$35*IF(F$3-$A24=0,0.5,IF(F$3-$A24&lt;Drivers!$B$35,1,IF(F$3-$A24=Drivers!$B$35,0.5,0)))))</x:f>
        <x:v>0</x:v>
      </x:c>
      <x:c r="G24" s="80" t="n">
        <x:f>IF(G$3&lt;$A24,0,G$18*(Drivers!$B$33/Drivers!$B$34*IF(G$3-$A24=0,0.5,IF(G$3-$A24&lt;Drivers!$B$34,1,IF(G$3-$A24=Drivers!$B$34,0.5,0)))+(1-Drivers!$B$33)/Drivers!$B$35*IF(G$3-$A24=0,0.5,IF(G$3-$A24&lt;Drivers!$B$35,1,IF(G$3-$A24=Drivers!$B$35,0.5,0)))))</x:f>
        <x:v>2.17917455</x:v>
      </x:c>
    </x:row>
    <x:row r="25" ht="15" hidden="0" customHeight="1">
      <x:c r="A25" s="83" t="str">
        <x:v>Total D&amp;A</x:v>
      </x:c>
      <x:c r="B25" s="84" t="n">
        <x:f>SUM(B17,B19:B24)</x:f>
        <x:v>4.0288438</x:v>
      </x:c>
      <x:c r="C25" s="84" t="n">
        <x:f>SUM(C17,C19:C24)</x:f>
        <x:v>5.41909208</x:v>
      </x:c>
      <x:c r="D25" s="84" t="n">
        <x:f>SUM(D17,D19:D24)</x:f>
        <x:v>7.673018979999999</x:v>
      </x:c>
      <x:c r="E25" s="84" t="n">
        <x:f>SUM(E17,E19:E24)</x:f>
        <x:v>10.6641282</x:v>
      </x:c>
      <x:c r="F25" s="84" t="n">
        <x:f>SUM(F17,F19:F24)</x:f>
        <x:v>14.10504825</x:v>
      </x:c>
      <x:c r="G25" s="84" t="n">
        <x:f>SUM(G17,G19:G24)</x:f>
        <x:v>17.066175649999998</x:v>
      </x:c>
    </x:row>
    <x:row r="26"/>
    <x:row r="27"/>
    <x:row r="28" ht="15" hidden="0" customHeight="1">
      <x:c r="A28" s="65" t="str">
        <x:v>BULL D&amp;A</x:v>
      </x:c>
      <x:c r="B28" s="65" t="str">
        <x:v>BULL D&amp;A</x:v>
      </x:c>
      <x:c r="C28" s="65" t="str">
        <x:v>BULL D&amp;A</x:v>
      </x:c>
      <x:c r="D28" s="65" t="str">
        <x:v>BULL D&amp;A</x:v>
      </x:c>
      <x:c r="E28" s="65" t="str">
        <x:v>BULL D&amp;A</x:v>
      </x:c>
      <x:c r="F28" s="65" t="str">
        <x:v>BULL D&amp;A</x:v>
      </x:c>
      <x:c r="G28" s="65" t="str">
        <x:v>BULL D&amp;A</x:v>
      </x:c>
    </x:row>
    <x:row r="29" ht="15" hidden="0" customHeight="1">
      <x:c r="A29" s="10" t="str">
        <x:v>Opening D&amp;A runoff</x:v>
      </x:c>
      <x:c r="B29" s="80" t="n">
        <x:f>Drivers!$B$13*MAX(0,1-(B$3-2027)/Drivers!$B$34)</x:f>
        <x:v>3.229</x:v>
      </x:c>
      <x:c r="C29" s="80" t="n">
        <x:f>Drivers!$B$13*MAX(0,1-(C$3-2027)/Drivers!$B$34)</x:f>
        <x:v>2.5832</x:v>
      </x:c>
      <x:c r="D29" s="80" t="n">
        <x:f>Drivers!$B$13*MAX(0,1-(D$3-2027)/Drivers!$B$34)</x:f>
        <x:v>1.9374</x:v>
      </x:c>
      <x:c r="E29" s="80" t="n">
        <x:f>Drivers!$B$13*MAX(0,1-(E$3-2027)/Drivers!$B$34)</x:f>
        <x:v>1.2916</x:v>
      </x:c>
      <x:c r="F29" s="80" t="n">
        <x:f>Drivers!$B$13*MAX(0,1-(F$3-2027)/Drivers!$B$34)</x:f>
        <x:v>0.6457999999999999</x:v>
      </x:c>
      <x:c r="G29" s="80" t="n">
        <x:f>Drivers!$B$13*MAX(0,1-(G$3-2027)/Drivers!$B$34)</x:f>
        <x:v>0</x:v>
      </x:c>
    </x:row>
    <x:row r="30" ht="15" hidden="0" customHeight="1">
      <x:c r="A30" s="10" t="str">
        <x:v>Forecast capex</x:v>
      </x:c>
      <x:c r="B30" s="80" t="n">
        <x:f>Scenarios!B19*Scenarios!B21</x:f>
        <x:v>11.267289</x:v>
      </x:c>
      <x:c r="C30" s="80" t="n">
        <x:f>Scenarios!C19*Scenarios!C21</x:f>
        <x:v>19.502616000000003</x:v>
      </x:c>
      <x:c r="D30" s="80" t="n">
        <x:f>Scenarios!D19*Scenarios!D21</x:f>
        <x:v>29.639131</x:v>
      </x:c>
      <x:c r="E30" s="80" t="n">
        <x:f>Scenarios!E19*Scenarios!E21</x:f>
        <x:v>39.841888</x:v>
      </x:c>
      <x:c r="F30" s="80" t="n">
        <x:f>Scenarios!F19*Scenarios!F21</x:f>
        <x:v>48.424</x:v>
      </x:c>
      <x:c r="G30" s="80" t="n">
        <x:f>Scenarios!G19*Scenarios!G21</x:f>
        <x:v>56.825184</x:v>
      </x:c>
    </x:row>
    <x:row r="31" ht="15" hidden="0" customHeight="1">
      <x:c r="A31" s="82" t="n">
        <x:v>2027</x:v>
      </x:c>
      <x:c r="B31" s="80" t="n">
        <x:f>IF(B$3&lt;$A31,0,B$30*(Drivers!$B$33/Drivers!$B$34*IF(B$3-$A31=0,0.5,IF(B$3-$A31&lt;Drivers!$B$34,1,IF(B$3-$A31=Drivers!$B$34,0.5,0)))+(1-Drivers!$B$33)/Drivers!$B$35*IF(B$3-$A31=0,0.5,IF(B$3-$A31&lt;Drivers!$B$35,1,IF(B$3-$A31=Drivers!$B$35,0.5,0)))))</x:f>
        <x:v>0.78871023</x:v>
      </x:c>
      <x:c r="C31" s="80" t="n">
        <x:f>IF(C$3&lt;$A31,0,B$30*(Drivers!$B$33/Drivers!$B$34*IF(C$3-$A31=0,0.5,IF(C$3-$A31&lt;Drivers!$B$34,1,IF(C$3-$A31=Drivers!$B$34,0.5,0)))+(1-Drivers!$B$33)/Drivers!$B$35*IF(C$3-$A31=0,0.5,IF(C$3-$A31&lt;Drivers!$B$35,1,IF(C$3-$A31=Drivers!$B$35,0.5,0)))))</x:f>
        <x:v>1.57742046</x:v>
      </x:c>
      <x:c r="D31" s="80" t="n">
        <x:f>IF(D$3&lt;$A31,0,B$30*(Drivers!$B$33/Drivers!$B$34*IF(D$3-$A31=0,0.5,IF(D$3-$A31&lt;Drivers!$B$34,1,IF(D$3-$A31=Drivers!$B$34,0.5,0)))+(1-Drivers!$B$33)/Drivers!$B$35*IF(D$3-$A31=0,0.5,IF(D$3-$A31&lt;Drivers!$B$35,1,IF(D$3-$A31=Drivers!$B$35,0.5,0)))))</x:f>
        <x:v>1.57742046</x:v>
      </x:c>
      <x:c r="E31" s="80" t="n">
        <x:f>IF(E$3&lt;$A31,0,B$30*(Drivers!$B$33/Drivers!$B$34*IF(E$3-$A31=0,0.5,IF(E$3-$A31&lt;Drivers!$B$34,1,IF(E$3-$A31=Drivers!$B$34,0.5,0)))+(1-Drivers!$B$33)/Drivers!$B$35*IF(E$3-$A31=0,0.5,IF(E$3-$A31&lt;Drivers!$B$35,1,IF(E$3-$A31=Drivers!$B$35,0.5,0)))))</x:f>
        <x:v>1.57742046</x:v>
      </x:c>
      <x:c r="F31" s="80" t="n">
        <x:f>IF(F$3&lt;$A31,0,B$30*(Drivers!$B$33/Drivers!$B$34*IF(F$3-$A31=0,0.5,IF(F$3-$A31&lt;Drivers!$B$34,1,IF(F$3-$A31=Drivers!$B$34,0.5,0)))+(1-Drivers!$B$33)/Drivers!$B$35*IF(F$3-$A31=0,0.5,IF(F$3-$A31&lt;Drivers!$B$35,1,IF(F$3-$A31=Drivers!$B$35,0.5,0)))))</x:f>
        <x:v>1.57742046</x:v>
      </x:c>
      <x:c r="G31" s="80" t="n">
        <x:f>IF(G$3&lt;$A31,0,B$30*(Drivers!$B$33/Drivers!$B$34*IF(G$3-$A31=0,0.5,IF(G$3-$A31&lt;Drivers!$B$34,1,IF(G$3-$A31=Drivers!$B$34,0.5,0)))+(1-Drivers!$B$33)/Drivers!$B$35*IF(G$3-$A31=0,0.5,IF(G$3-$A31&lt;Drivers!$B$35,1,IF(G$3-$A31=Drivers!$B$35,0.5,0)))))</x:f>
        <x:v>0.90138312</x:v>
      </x:c>
    </x:row>
    <x:row r="32" ht="15" hidden="0" customHeight="1">
      <x:c r="A32" s="82" t="n">
        <x:v>2028</x:v>
      </x:c>
      <x:c r="B32" s="80" t="n">
        <x:f>IF(B$3&lt;$A32,0,C$30*(Drivers!$B$33/Drivers!$B$34*IF(B$3-$A32=0,0.5,IF(B$3-$A32&lt;Drivers!$B$34,1,IF(B$3-$A32=Drivers!$B$34,0.5,0)))+(1-Drivers!$B$33)/Drivers!$B$35*IF(B$3-$A32=0,0.5,IF(B$3-$A32&lt;Drivers!$B$35,1,IF(B$3-$A32=Drivers!$B$35,0.5,0)))))</x:f>
        <x:v>0</x:v>
      </x:c>
      <x:c r="C32" s="80" t="n">
        <x:f>IF(C$3&lt;$A32,0,C$30*(Drivers!$B$33/Drivers!$B$34*IF(C$3-$A32=0,0.5,IF(C$3-$A32&lt;Drivers!$B$34,1,IF(C$3-$A32=Drivers!$B$34,0.5,0)))+(1-Drivers!$B$33)/Drivers!$B$35*IF(C$3-$A32=0,0.5,IF(C$3-$A32&lt;Drivers!$B$35,1,IF(C$3-$A32=Drivers!$B$35,0.5,0)))))</x:f>
        <x:v>1.3651831200000002</x:v>
      </x:c>
      <x:c r="D32" s="80" t="n">
        <x:f>IF(D$3&lt;$A32,0,C$30*(Drivers!$B$33/Drivers!$B$34*IF(D$3-$A32=0,0.5,IF(D$3-$A32&lt;Drivers!$B$34,1,IF(D$3-$A32=Drivers!$B$34,0.5,0)))+(1-Drivers!$B$33)/Drivers!$B$35*IF(D$3-$A32=0,0.5,IF(D$3-$A32&lt;Drivers!$B$35,1,IF(D$3-$A32=Drivers!$B$35,0.5,0)))))</x:f>
        <x:v>2.7303662400000004</x:v>
      </x:c>
      <x:c r="E32" s="80" t="n">
        <x:f>IF(E$3&lt;$A32,0,C$30*(Drivers!$B$33/Drivers!$B$34*IF(E$3-$A32=0,0.5,IF(E$3-$A32&lt;Drivers!$B$34,1,IF(E$3-$A32=Drivers!$B$34,0.5,0)))+(1-Drivers!$B$33)/Drivers!$B$35*IF(E$3-$A32=0,0.5,IF(E$3-$A32&lt;Drivers!$B$35,1,IF(E$3-$A32=Drivers!$B$35,0.5,0)))))</x:f>
        <x:v>2.7303662400000004</x:v>
      </x:c>
      <x:c r="F32" s="80" t="n">
        <x:f>IF(F$3&lt;$A32,0,C$30*(Drivers!$B$33/Drivers!$B$34*IF(F$3-$A32=0,0.5,IF(F$3-$A32&lt;Drivers!$B$34,1,IF(F$3-$A32=Drivers!$B$34,0.5,0)))+(1-Drivers!$B$33)/Drivers!$B$35*IF(F$3-$A32=0,0.5,IF(F$3-$A32&lt;Drivers!$B$35,1,IF(F$3-$A32=Drivers!$B$35,0.5,0)))))</x:f>
        <x:v>2.7303662400000004</x:v>
      </x:c>
      <x:c r="G32" s="80" t="n">
        <x:f>IF(G$3&lt;$A32,0,C$30*(Drivers!$B$33/Drivers!$B$34*IF(G$3-$A32=0,0.5,IF(G$3-$A32&lt;Drivers!$B$34,1,IF(G$3-$A32=Drivers!$B$34,0.5,0)))+(1-Drivers!$B$33)/Drivers!$B$35*IF(G$3-$A32=0,0.5,IF(G$3-$A32&lt;Drivers!$B$35,1,IF(G$3-$A32=Drivers!$B$35,0.5,0)))))</x:f>
        <x:v>2.7303662400000004</x:v>
      </x:c>
    </x:row>
    <x:row r="33" ht="15" hidden="0" customHeight="1">
      <x:c r="A33" s="82" t="n">
        <x:v>2029</x:v>
      </x:c>
      <x:c r="B33" s="80" t="n">
        <x:f>IF(B$3&lt;$A33,0,D$30*(Drivers!$B$33/Drivers!$B$34*IF(B$3-$A33=0,0.5,IF(B$3-$A33&lt;Drivers!$B$34,1,IF(B$3-$A33=Drivers!$B$34,0.5,0)))+(1-Drivers!$B$33)/Drivers!$B$35*IF(B$3-$A33=0,0.5,IF(B$3-$A33&lt;Drivers!$B$35,1,IF(B$3-$A33=Drivers!$B$35,0.5,0)))))</x:f>
        <x:v>0</x:v>
      </x:c>
      <x:c r="C33" s="80" t="n">
        <x:f>IF(C$3&lt;$A33,0,D$30*(Drivers!$B$33/Drivers!$B$34*IF(C$3-$A33=0,0.5,IF(C$3-$A33&lt;Drivers!$B$34,1,IF(C$3-$A33=Drivers!$B$34,0.5,0)))+(1-Drivers!$B$33)/Drivers!$B$35*IF(C$3-$A33=0,0.5,IF(C$3-$A33&lt;Drivers!$B$35,1,IF(C$3-$A33=Drivers!$B$35,0.5,0)))))</x:f>
        <x:v>0</x:v>
      </x:c>
      <x:c r="D33" s="80" t="n">
        <x:f>IF(D$3&lt;$A33,0,D$30*(Drivers!$B$33/Drivers!$B$34*IF(D$3-$A33=0,0.5,IF(D$3-$A33&lt;Drivers!$B$34,1,IF(D$3-$A33=Drivers!$B$34,0.5,0)))+(1-Drivers!$B$33)/Drivers!$B$35*IF(D$3-$A33=0,0.5,IF(D$3-$A33&lt;Drivers!$B$35,1,IF(D$3-$A33=Drivers!$B$35,0.5,0)))))</x:f>
        <x:v>2.0747391699999995</x:v>
      </x:c>
      <x:c r="E33" s="80" t="n">
        <x:f>IF(E$3&lt;$A33,0,D$30*(Drivers!$B$33/Drivers!$B$34*IF(E$3-$A33=0,0.5,IF(E$3-$A33&lt;Drivers!$B$34,1,IF(E$3-$A33=Drivers!$B$34,0.5,0)))+(1-Drivers!$B$33)/Drivers!$B$35*IF(E$3-$A33=0,0.5,IF(E$3-$A33&lt;Drivers!$B$35,1,IF(E$3-$A33=Drivers!$B$35,0.5,0)))))</x:f>
        <x:v>4.149478339999999</x:v>
      </x:c>
      <x:c r="F33" s="80" t="n">
        <x:f>IF(F$3&lt;$A33,0,D$30*(Drivers!$B$33/Drivers!$B$34*IF(F$3-$A33=0,0.5,IF(F$3-$A33&lt;Drivers!$B$34,1,IF(F$3-$A33=Drivers!$B$34,0.5,0)))+(1-Drivers!$B$33)/Drivers!$B$35*IF(F$3-$A33=0,0.5,IF(F$3-$A33&lt;Drivers!$B$35,1,IF(F$3-$A33=Drivers!$B$35,0.5,0)))))</x:f>
        <x:v>4.149478339999999</x:v>
      </x:c>
      <x:c r="G33" s="80" t="n">
        <x:f>IF(G$3&lt;$A33,0,D$30*(Drivers!$B$33/Drivers!$B$34*IF(G$3-$A33=0,0.5,IF(G$3-$A33&lt;Drivers!$B$34,1,IF(G$3-$A33=Drivers!$B$34,0.5,0)))+(1-Drivers!$B$33)/Drivers!$B$35*IF(G$3-$A33=0,0.5,IF(G$3-$A33&lt;Drivers!$B$35,1,IF(G$3-$A33=Drivers!$B$35,0.5,0)))))</x:f>
        <x:v>4.149478339999999</x:v>
      </x:c>
    </x:row>
    <x:row r="34" ht="15" hidden="0" customHeight="1">
      <x:c r="A34" s="82" t="n">
        <x:v>2030</x:v>
      </x:c>
      <x:c r="B34" s="80" t="n">
        <x:f>IF(B$3&lt;$A34,0,E$30*(Drivers!$B$33/Drivers!$B$34*IF(B$3-$A34=0,0.5,IF(B$3-$A34&lt;Drivers!$B$34,1,IF(B$3-$A34=Drivers!$B$34,0.5,0)))+(1-Drivers!$B$33)/Drivers!$B$35*IF(B$3-$A34=0,0.5,IF(B$3-$A34&lt;Drivers!$B$35,1,IF(B$3-$A34=Drivers!$B$35,0.5,0)))))</x:f>
        <x:v>0</x:v>
      </x:c>
      <x:c r="C34" s="80" t="n">
        <x:f>IF(C$3&lt;$A34,0,E$30*(Drivers!$B$33/Drivers!$B$34*IF(C$3-$A34=0,0.5,IF(C$3-$A34&lt;Drivers!$B$34,1,IF(C$3-$A34=Drivers!$B$34,0.5,0)))+(1-Drivers!$B$33)/Drivers!$B$35*IF(C$3-$A34=0,0.5,IF(C$3-$A34&lt;Drivers!$B$35,1,IF(C$3-$A34=Drivers!$B$35,0.5,0)))))</x:f>
        <x:v>0</x:v>
      </x:c>
      <x:c r="D34" s="80" t="n">
        <x:f>IF(D$3&lt;$A34,0,E$30*(Drivers!$B$33/Drivers!$B$34*IF(D$3-$A34=0,0.5,IF(D$3-$A34&lt;Drivers!$B$34,1,IF(D$3-$A34=Drivers!$B$34,0.5,0)))+(1-Drivers!$B$33)/Drivers!$B$35*IF(D$3-$A34=0,0.5,IF(D$3-$A34&lt;Drivers!$B$35,1,IF(D$3-$A34=Drivers!$B$35,0.5,0)))))</x:f>
        <x:v>0</x:v>
      </x:c>
      <x:c r="E34" s="80" t="n">
        <x:f>IF(E$3&lt;$A34,0,E$30*(Drivers!$B$33/Drivers!$B$34*IF(E$3-$A34=0,0.5,IF(E$3-$A34&lt;Drivers!$B$34,1,IF(E$3-$A34=Drivers!$B$34,0.5,0)))+(1-Drivers!$B$33)/Drivers!$B$35*IF(E$3-$A34=0,0.5,IF(E$3-$A34&lt;Drivers!$B$35,1,IF(E$3-$A34=Drivers!$B$35,0.5,0)))))</x:f>
        <x:v>2.7889321599999994</x:v>
      </x:c>
      <x:c r="F34" s="80" t="n">
        <x:f>IF(F$3&lt;$A34,0,E$30*(Drivers!$B$33/Drivers!$B$34*IF(F$3-$A34=0,0.5,IF(F$3-$A34&lt;Drivers!$B$34,1,IF(F$3-$A34=Drivers!$B$34,0.5,0)))+(1-Drivers!$B$33)/Drivers!$B$35*IF(F$3-$A34=0,0.5,IF(F$3-$A34&lt;Drivers!$B$35,1,IF(F$3-$A34=Drivers!$B$35,0.5,0)))))</x:f>
        <x:v>5.577864319999999</x:v>
      </x:c>
      <x:c r="G34" s="80" t="n">
        <x:f>IF(G$3&lt;$A34,0,E$30*(Drivers!$B$33/Drivers!$B$34*IF(G$3-$A34=0,0.5,IF(G$3-$A34&lt;Drivers!$B$34,1,IF(G$3-$A34=Drivers!$B$34,0.5,0)))+(1-Drivers!$B$33)/Drivers!$B$35*IF(G$3-$A34=0,0.5,IF(G$3-$A34&lt;Drivers!$B$35,1,IF(G$3-$A34=Drivers!$B$35,0.5,0)))))</x:f>
        <x:v>5.577864319999999</x:v>
      </x:c>
    </x:row>
    <x:row r="35" ht="15" hidden="0" customHeight="1">
      <x:c r="A35" s="82" t="n">
        <x:v>2031</x:v>
      </x:c>
      <x:c r="B35" s="80" t="n">
        <x:f>IF(B$3&lt;$A35,0,F$30*(Drivers!$B$33/Drivers!$B$34*IF(B$3-$A35=0,0.5,IF(B$3-$A35&lt;Drivers!$B$34,1,IF(B$3-$A35=Drivers!$B$34,0.5,0)))+(1-Drivers!$B$33)/Drivers!$B$35*IF(B$3-$A35=0,0.5,IF(B$3-$A35&lt;Drivers!$B$35,1,IF(B$3-$A35=Drivers!$B$35,0.5,0)))))</x:f>
        <x:v>0</x:v>
      </x:c>
      <x:c r="C35" s="80" t="n">
        <x:f>IF(C$3&lt;$A35,0,F$30*(Drivers!$B$33/Drivers!$B$34*IF(C$3-$A35=0,0.5,IF(C$3-$A35&lt;Drivers!$B$34,1,IF(C$3-$A35=Drivers!$B$34,0.5,0)))+(1-Drivers!$B$33)/Drivers!$B$35*IF(C$3-$A35=0,0.5,IF(C$3-$A35&lt;Drivers!$B$35,1,IF(C$3-$A35=Drivers!$B$35,0.5,0)))))</x:f>
        <x:v>0</x:v>
      </x:c>
      <x:c r="D35" s="80" t="n">
        <x:f>IF(D$3&lt;$A35,0,F$30*(Drivers!$B$33/Drivers!$B$34*IF(D$3-$A35=0,0.5,IF(D$3-$A35&lt;Drivers!$B$34,1,IF(D$3-$A35=Drivers!$B$34,0.5,0)))+(1-Drivers!$B$33)/Drivers!$B$35*IF(D$3-$A35=0,0.5,IF(D$3-$A35&lt;Drivers!$B$35,1,IF(D$3-$A35=Drivers!$B$35,0.5,0)))))</x:f>
        <x:v>0</x:v>
      </x:c>
      <x:c r="E35" s="80" t="n">
        <x:f>IF(E$3&lt;$A35,0,F$30*(Drivers!$B$33/Drivers!$B$34*IF(E$3-$A35=0,0.5,IF(E$3-$A35&lt;Drivers!$B$34,1,IF(E$3-$A35=Drivers!$B$34,0.5,0)))+(1-Drivers!$B$33)/Drivers!$B$35*IF(E$3-$A35=0,0.5,IF(E$3-$A35&lt;Drivers!$B$35,1,IF(E$3-$A35=Drivers!$B$35,0.5,0)))))</x:f>
        <x:v>0</x:v>
      </x:c>
      <x:c r="F35" s="80" t="n">
        <x:f>IF(F$3&lt;$A35,0,F$30*(Drivers!$B$33/Drivers!$B$34*IF(F$3-$A35=0,0.5,IF(F$3-$A35&lt;Drivers!$B$34,1,IF(F$3-$A35=Drivers!$B$34,0.5,0)))+(1-Drivers!$B$33)/Drivers!$B$35*IF(F$3-$A35=0,0.5,IF(F$3-$A35&lt;Drivers!$B$35,1,IF(F$3-$A35=Drivers!$B$35,0.5,0)))))</x:f>
        <x:v>3.38968</x:v>
      </x:c>
      <x:c r="G35" s="80" t="n">
        <x:f>IF(G$3&lt;$A35,0,F$30*(Drivers!$B$33/Drivers!$B$34*IF(G$3-$A35=0,0.5,IF(G$3-$A35&lt;Drivers!$B$34,1,IF(G$3-$A35=Drivers!$B$34,0.5,0)))+(1-Drivers!$B$33)/Drivers!$B$35*IF(G$3-$A35=0,0.5,IF(G$3-$A35&lt;Drivers!$B$35,1,IF(G$3-$A35=Drivers!$B$35,0.5,0)))))</x:f>
        <x:v>6.77936</x:v>
      </x:c>
    </x:row>
    <x:row r="36" ht="15" hidden="0" customHeight="1">
      <x:c r="A36" s="82" t="n">
        <x:v>2032</x:v>
      </x:c>
      <x:c r="B36" s="80" t="n">
        <x:f>IF(B$3&lt;$A36,0,G$30*(Drivers!$B$33/Drivers!$B$34*IF(B$3-$A36=0,0.5,IF(B$3-$A36&lt;Drivers!$B$34,1,IF(B$3-$A36=Drivers!$B$34,0.5,0)))+(1-Drivers!$B$33)/Drivers!$B$35*IF(B$3-$A36=0,0.5,IF(B$3-$A36&lt;Drivers!$B$35,1,IF(B$3-$A36=Drivers!$B$35,0.5,0)))))</x:f>
        <x:v>0</x:v>
      </x:c>
      <x:c r="C36" s="80" t="n">
        <x:f>IF(C$3&lt;$A36,0,G$30*(Drivers!$B$33/Drivers!$B$34*IF(C$3-$A36=0,0.5,IF(C$3-$A36&lt;Drivers!$B$34,1,IF(C$3-$A36=Drivers!$B$34,0.5,0)))+(1-Drivers!$B$33)/Drivers!$B$35*IF(C$3-$A36=0,0.5,IF(C$3-$A36&lt;Drivers!$B$35,1,IF(C$3-$A36=Drivers!$B$35,0.5,0)))))</x:f>
        <x:v>0</x:v>
      </x:c>
      <x:c r="D36" s="80" t="n">
        <x:f>IF(D$3&lt;$A36,0,G$30*(Drivers!$B$33/Drivers!$B$34*IF(D$3-$A36=0,0.5,IF(D$3-$A36&lt;Drivers!$B$34,1,IF(D$3-$A36=Drivers!$B$34,0.5,0)))+(1-Drivers!$B$33)/Drivers!$B$35*IF(D$3-$A36=0,0.5,IF(D$3-$A36&lt;Drivers!$B$35,1,IF(D$3-$A36=Drivers!$B$35,0.5,0)))))</x:f>
        <x:v>0</x:v>
      </x:c>
      <x:c r="E36" s="80" t="n">
        <x:f>IF(E$3&lt;$A36,0,G$30*(Drivers!$B$33/Drivers!$B$34*IF(E$3-$A36=0,0.5,IF(E$3-$A36&lt;Drivers!$B$34,1,IF(E$3-$A36=Drivers!$B$34,0.5,0)))+(1-Drivers!$B$33)/Drivers!$B$35*IF(E$3-$A36=0,0.5,IF(E$3-$A36&lt;Drivers!$B$35,1,IF(E$3-$A36=Drivers!$B$35,0.5,0)))))</x:f>
        <x:v>0</x:v>
      </x:c>
      <x:c r="F36" s="80" t="n">
        <x:f>IF(F$3&lt;$A36,0,G$30*(Drivers!$B$33/Drivers!$B$34*IF(F$3-$A36=0,0.5,IF(F$3-$A36&lt;Drivers!$B$34,1,IF(F$3-$A36=Drivers!$B$34,0.5,0)))+(1-Drivers!$B$33)/Drivers!$B$35*IF(F$3-$A36=0,0.5,IF(F$3-$A36&lt;Drivers!$B$35,1,IF(F$3-$A36=Drivers!$B$35,0.5,0)))))</x:f>
        <x:v>0</x:v>
      </x:c>
      <x:c r="G36" s="80" t="n">
        <x:f>IF(G$3&lt;$A36,0,G$30*(Drivers!$B$33/Drivers!$B$34*IF(G$3-$A36=0,0.5,IF(G$3-$A36&lt;Drivers!$B$34,1,IF(G$3-$A36=Drivers!$B$34,0.5,0)))+(1-Drivers!$B$33)/Drivers!$B$35*IF(G$3-$A36=0,0.5,IF(G$3-$A36&lt;Drivers!$B$35,1,IF(G$3-$A36=Drivers!$B$35,0.5,0)))))</x:f>
        <x:v>3.97776288</x:v>
      </x:c>
    </x:row>
    <x:row r="37" ht="15" hidden="0" customHeight="1">
      <x:c r="A37" s="83" t="str">
        <x:v>Total D&amp;A</x:v>
      </x:c>
      <x:c r="B37" s="84" t="n">
        <x:f>SUM(B29,B31:B36)</x:f>
        <x:v>4.0177102300000005</x:v>
      </x:c>
      <x:c r="C37" s="84" t="n">
        <x:f>SUM(C29,C31:C36)</x:f>
        <x:v>5.52580358</x:v>
      </x:c>
      <x:c r="D37" s="84" t="n">
        <x:f>SUM(D29,D31:D36)</x:f>
        <x:v>8.31992587</x:v>
      </x:c>
      <x:c r="E37" s="84" t="n">
        <x:f>SUM(E29,E31:E36)</x:f>
        <x:v>12.5377972</x:v>
      </x:c>
      <x:c r="F37" s="84" t="n">
        <x:f>SUM(F29,F31:F36)</x:f>
        <x:v>18.07060936</x:v>
      </x:c>
      <x:c r="G37" s="84" t="n">
        <x:f>SUM(G29,G31:G36)</x:f>
        <x:v>24.1162149</x:v>
      </x:c>
    </x:row>
  </x:sheetData>
  <x:mergeCells>
    <x:mergeCell ref="A1:G1"/>
    <x:mergeCell ref="A2:G2"/>
    <x:mergeCell ref="A4:G4"/>
    <x:mergeCell ref="A16:G16"/>
    <x:mergeCell ref="A28:G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52" hidden="0" customWidth="1"/>
  </x:cols>
  <x:sheetData>
    <x:row r="1" ht="21.600000381469727" hidden="0" customHeight="1">
      <x:c r="A1" s="2" t="str">
        <x:v>Equity-value bridge</x:v>
      </x:c>
      <x:c r="B1" s="2" t="str">
        <x:v>Equity-value bridge</x:v>
      </x:c>
      <x:c r="C1" s="2" t="str">
        <x:v>Equity-value bridge</x:v>
      </x:c>
      <x:c r="D1" s="2" t="str">
        <x:v>Equity-value bridge</x:v>
      </x:c>
      <x:c r="E1" s="2" t="str">
        <x:v>Equity-value bridge</x:v>
      </x:c>
    </x:row>
    <x:row r="2" ht="15" hidden="0" customHeight="1">
      <x:c r="A2" s="5" t="str">
        <x:v>Strategic stakes are not cash. Credits vary by scenario; operating leases are disclosed but not deducted because lease expense is already in operating cash flows.</x:v>
      </x:c>
      <x:c r="B2" s="5" t="str">
        <x:v>Strategic stakes are not cash. Credits vary by scenario; operating leases are disclosed but not deducted because lease expense is already in operating cash flows.</x:v>
      </x:c>
      <x:c r="C2" s="5" t="str">
        <x:v>Strategic stakes are not cash. Credits vary by scenario; operating leases are disclosed but not deducted because lease expense is already in operating cash flows.</x:v>
      </x:c>
      <x:c r="D2" s="5" t="str">
        <x:v>Strategic stakes are not cash. Credits vary by scenario; operating leases are disclosed but not deducted because lease expense is already in operating cash flows.</x:v>
      </x:c>
      <x:c r="E2" s="5" t="str">
        <x:v>Strategic stakes are not cash. Credits vary by scenario; operating leases are disclosed but not deducted because lease expense is already in operating cash flows.</x:v>
      </x:c>
    </x:row>
    <x:row r="3"/>
    <x:row r="4" ht="15" hidden="0" customHeight="1">
      <x:c r="A4" s="26" t="str">
        <x:v>Item</x:v>
      </x:c>
      <x:c r="B4" s="26" t="str">
        <x:v>Bear</x:v>
      </x:c>
      <x:c r="C4" s="26" t="str">
        <x:v>Base</x:v>
      </x:c>
      <x:c r="D4" s="26" t="str">
        <x:v>Bull</x:v>
      </x:c>
      <x:c r="E4" s="26" t="str">
        <x:v>Source / formula</x:v>
      </x:c>
    </x:row>
    <x:row r="5" ht="15" hidden="0" customHeight="1">
      <x:c r="A5" s="10" t="str">
        <x:v>Liquid cash + marketable debt</x:v>
      </x:c>
      <x:c r="B5" s="80" t="n">
        <x:f>Drivers!B17</x:f>
        <x:v>50.335</x:v>
      </x:c>
      <x:c r="C5" s="80" t="n">
        <x:f>Drivers!B17</x:f>
        <x:v>50.335</x:v>
      </x:c>
      <x:c r="D5" s="80" t="n">
        <x:f>Drivers!B17</x:f>
        <x:v>50.335</x:v>
      </x:c>
      <x:c r="E5" s="10" t="str">
        <x:v>S1/S2</x:v>
      </x:c>
    </x:row>
    <x:row r="6" ht="15" hidden="0" customHeight="1">
      <x:c r="A6" s="10" t="str">
        <x:v>Marketable equity reported</x:v>
      </x:c>
      <x:c r="B6" s="80" t="n">
        <x:f>Drivers!B18</x:f>
        <x:v>30.237</x:v>
      </x:c>
      <x:c r="C6" s="80" t="n">
        <x:f>Drivers!B18</x:f>
        <x:v>30.237</x:v>
      </x:c>
      <x:c r="D6" s="80" t="n">
        <x:f>Drivers!B18</x:f>
        <x:v>30.237</x:v>
      </x:c>
      <x:c r="E6" s="10" t="str">
        <x:v>S1</x:v>
      </x:c>
    </x:row>
    <x:row r="7" ht="15" hidden="0" customHeight="1">
      <x:c r="A7" s="10" t="str">
        <x:v>Credit %</x:v>
      </x:c>
      <x:c r="B7" s="71" t="n">
        <x:f>Scenarios!E26</x:f>
        <x:v>0.75</x:v>
      </x:c>
      <x:c r="C7" s="71" t="n">
        <x:f>Scenarios!E27</x:f>
        <x:v>0.85</x:v>
      </x:c>
      <x:c r="D7" s="71" t="n">
        <x:f>Scenarios!E28</x:f>
        <x:v>1</x:v>
      </x:c>
      <x:c r="E7" s="10" t="str">
        <x:v>S7</x:v>
      </x:c>
    </x:row>
    <x:row r="8" ht="15" hidden="0" customHeight="1">
      <x:c r="A8" s="10" t="str">
        <x:v>Marketable equity credited</x:v>
      </x:c>
      <x:c r="B8" s="80" t="n">
        <x:f>B6*B7</x:f>
        <x:v>22.67775</x:v>
      </x:c>
      <x:c r="C8" s="80" t="n">
        <x:f>C6*C7</x:f>
        <x:v>25.701449999999998</x:v>
      </x:c>
      <x:c r="D8" s="80" t="n">
        <x:f>D6*D7</x:f>
        <x:v>30.237</x:v>
      </x:c>
      <x:c r="E8" s="10" t="str">
        <x:v>Calc</x:v>
      </x:c>
    </x:row>
    <x:row r="9" ht="15" hidden="0" customHeight="1">
      <x:c r="A9" s="10" t="str">
        <x:v>Nonmarketable equity reported</x:v>
      </x:c>
      <x:c r="B9" s="80" t="n">
        <x:f>Drivers!B19</x:f>
        <x:v>42.336</x:v>
      </x:c>
      <x:c r="C9" s="80" t="n">
        <x:f>Drivers!B19</x:f>
        <x:v>42.336</x:v>
      </x:c>
      <x:c r="D9" s="80" t="n">
        <x:f>Drivers!B19</x:f>
        <x:v>42.336</x:v>
      </x:c>
      <x:c r="E9" s="10" t="str">
        <x:v>S1</x:v>
      </x:c>
    </x:row>
    <x:row r="10" ht="15" hidden="0" customHeight="1">
      <x:c r="A10" s="10" t="str">
        <x:v>Credit %</x:v>
      </x:c>
      <x:c r="B10" s="71" t="n">
        <x:f>Scenarios!F26</x:f>
        <x:v>0.35</x:v>
      </x:c>
      <x:c r="C10" s="71" t="n">
        <x:f>Scenarios!F27</x:f>
        <x:v>0.5</x:v>
      </x:c>
      <x:c r="D10" s="71" t="n">
        <x:f>Scenarios!F28</x:f>
        <x:v>0.75</x:v>
      </x:c>
      <x:c r="E10" s="10" t="str">
        <x:v>S7</x:v>
      </x:c>
    </x:row>
    <x:row r="11" ht="15" hidden="0" customHeight="1">
      <x:c r="A11" s="10" t="str">
        <x:v>Nonmarketable equity credited</x:v>
      </x:c>
      <x:c r="B11" s="80" t="n">
        <x:f>B9*B10</x:f>
        <x:v>14.817599999999999</x:v>
      </x:c>
      <x:c r="C11" s="80" t="n">
        <x:f>C9*C10</x:f>
        <x:v>21.168</x:v>
      </x:c>
      <x:c r="D11" s="80" t="n">
        <x:f>D9*D10</x:f>
        <x:v>31.752</x:v>
      </x:c>
      <x:c r="E11" s="10" t="str">
        <x:v>Calc</x:v>
      </x:c>
    </x:row>
    <x:row r="12" ht="15" hidden="0" customHeight="1">
      <x:c r="A12" s="10" t="str">
        <x:v>Equity-method reported</x:v>
      </x:c>
      <x:c r="B12" s="80" t="n">
        <x:f>Drivers!B20</x:f>
        <x:v>1.028</x:v>
      </x:c>
      <x:c r="C12" s="80" t="n">
        <x:f>Drivers!B20</x:f>
        <x:v>1.028</x:v>
      </x:c>
      <x:c r="D12" s="80" t="n">
        <x:f>Drivers!B20</x:f>
        <x:v>1.028</x:v>
      </x:c>
      <x:c r="E12" s="10" t="str">
        <x:v>S1</x:v>
      </x:c>
    </x:row>
    <x:row r="13" ht="15" hidden="0" customHeight="1">
      <x:c r="A13" s="10" t="str">
        <x:v>Credit %</x:v>
      </x:c>
      <x:c r="B13" s="71" t="n">
        <x:f>Scenarios!G26</x:f>
        <x:v>0.35</x:v>
      </x:c>
      <x:c r="C13" s="71" t="n">
        <x:f>Scenarios!G27</x:f>
        <x:v>0.5</x:v>
      </x:c>
      <x:c r="D13" s="71" t="n">
        <x:f>Scenarios!G28</x:f>
        <x:v>0.75</x:v>
      </x:c>
      <x:c r="E13" s="10" t="str">
        <x:v>S7</x:v>
      </x:c>
    </x:row>
    <x:row r="14" ht="15" hidden="0" customHeight="1">
      <x:c r="A14" s="10" t="str">
        <x:v>Equity-method credited</x:v>
      </x:c>
      <x:c r="B14" s="80" t="n">
        <x:f>B12*B13</x:f>
        <x:v>0.3598</x:v>
      </x:c>
      <x:c r="C14" s="80" t="n">
        <x:f>C12*C13</x:f>
        <x:v>0.514</x:v>
      </x:c>
      <x:c r="D14" s="80" t="n">
        <x:f>D12*D13</x:f>
        <x:v>0.771</x:v>
      </x:c>
      <x:c r="E14" s="10" t="str">
        <x:v>Calc</x:v>
      </x:c>
    </x:row>
    <x:row r="15" ht="15" hidden="0" customHeight="1">
      <x:c r="A15" s="83" t="str">
        <x:v>Total credited bridge (after debt)</x:v>
      </x:c>
      <x:c r="B15" s="84" t="n">
        <x:f>SUM(B5,B8,B11,B14)-Drivers!B21</x:f>
        <x:v>79.72015</x:v>
      </x:c>
      <x:c r="C15" s="84" t="n">
        <x:f>SUM(C5,C8,C11,C14)-Drivers!B21</x:f>
        <x:v>89.24845</x:v>
      </x:c>
      <x:c r="D15" s="84" t="n">
        <x:f>SUM(D5,D8,D11,D14)-Drivers!B21</x:f>
        <x:v>104.625</x:v>
      </x:c>
      <x:c r="E15" s="10" t="str">
        <x:v>Calc; debt from S1</x:v>
      </x:c>
    </x:row>
    <x:row r="16"/>
    <x:row r="17"/>
    <x:row r="18" ht="15" hidden="0" customHeight="1">
      <x:c r="A18" s="19" t="str">
        <x:v>Disclosed, not in bridge</x:v>
      </x:c>
      <x:c r="B18" s="19" t="str">
        <x:v>Disclosed, not in bridge</x:v>
      </x:c>
      <x:c r="C18" s="19" t="str">
        <x:v>Disclosed, not in bridge</x:v>
      </x:c>
      <x:c r="D18" s="19" t="str">
        <x:v>Disclosed, not in bridge</x:v>
      </x:c>
      <x:c r="E18" s="19" t="str">
        <x:v>Disclosed, not in bridge</x:v>
      </x:c>
    </x:row>
    <x:row r="19" ht="15" hidden="0" customHeight="1">
      <x:c r="A19" s="10" t="str">
        <x:v>Operating lease liabilities</x:v>
      </x:c>
      <x:c r="B19" s="80" t="n">
        <x:v>4.344</x:v>
      </x:c>
      <x:c r="C19" s="10" t="str"/>
      <x:c r="D19" s="10" t="str"/>
      <x:c r="E19" s="10" t="str">
        <x:v>S1; no double deduction</x:v>
      </x:c>
    </x:row>
    <x:row r="20" ht="15" hidden="0" customHeight="1">
      <x:c r="A20" s="10" t="str">
        <x:v>Manufacturing commitments</x:v>
      </x:c>
      <x:c r="B20" s="80" t="n">
        <x:v>119</x:v>
      </x:c>
      <x:c r="C20" s="10" t="str"/>
      <x:c r="D20" s="10" t="str"/>
      <x:c r="E20" s="10" t="str">
        <x:v>S1; operating/capacity commitments</x:v>
      </x:c>
    </x:row>
    <x:row r="21" ht="15" hidden="0" customHeight="1">
      <x:c r="A21" s="10" t="str">
        <x:v>Cloud commitments</x:v>
      </x:c>
      <x:c r="B21" s="80" t="n">
        <x:v>30</x:v>
      </x:c>
      <x:c r="C21" s="10" t="str"/>
      <x:c r="D21" s="10" t="str"/>
      <x:c r="E21" s="10" t="str">
        <x:v>S1; operating/R&amp;D commitments</x:v>
      </x:c>
    </x:row>
    <x:row r="22" ht="15" hidden="0" customHeight="1">
      <x:c r="A22" s="10" t="str">
        <x:v>Investment commitments</x:v>
      </x:c>
      <x:c r="B22" s="80" t="n">
        <x:v>27</x:v>
      </x:c>
      <x:c r="C22" s="10" t="str"/>
      <x:c r="D22" s="10" t="str"/>
      <x:c r="E22" s="10" t="str">
        <x:v>S1; contingent, open demand-quality gate</x:v>
      </x:c>
    </x:row>
  </x:sheetData>
  <x:mergeCells>
    <x:mergeCell ref="A1:E1"/>
    <x:mergeCell ref="A2:E2"/>
    <x:mergeCell ref="A18:E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28" hidden="0" customWidth="1"/>
    <x:col min="10" max="10" width="18" hidden="0" customWidth="1"/>
  </x:cols>
  <x:sheetData>
    <x:row r="1" ht="21.600000381469727" hidden="0" customHeight="1">
      <x:c r="A1" s="2" t="str">
        <x:v>DCF valuation</x:v>
      </x:c>
      <x:c r="B1" s="2" t="str">
        <x:v>DCF valuation</x:v>
      </x:c>
      <x:c r="C1" s="2" t="str">
        <x:v>DCF valuation</x:v>
      </x:c>
      <x:c r="D1" s="2" t="str">
        <x:v>DCF valuation</x:v>
      </x:c>
      <x:c r="E1" s="2" t="str">
        <x:v>DCF valuation</x:v>
      </x:c>
      <x:c r="F1" s="2" t="str">
        <x:v>DCF valuation</x:v>
      </x:c>
      <x:c r="G1" s="2" t="str">
        <x:v>DCF valuation</x:v>
      </x:c>
      <x:c r="H1" s="2" t="str">
        <x:v>DCF valuation</x:v>
      </x:c>
      <x:c r="I1" s="2" t="str">
        <x:v>DCF valuation</x:v>
      </x:c>
      <x:c r="J1" s="2" t="str">
        <x:v>DCF valuation</x:v>
      </x:c>
    </x:row>
    <x:row r="2" ht="15" hidden="0" customHeight="1">
      <x:c r="A2" s="5" t="str">
        <x:v>FY2027 removes reported Q1 CFO less capex; terminal FCFF normalizes reinvestment through g / terminal ROIC. Units are $bn except per-share outputs.</x:v>
      </x:c>
      <x:c r="B2" s="5" t="str">
        <x:v>FY2027 removes reported Q1 CFO less capex; terminal FCFF normalizes reinvestment through g / terminal ROIC. Units are $bn except per-share outputs.</x:v>
      </x:c>
      <x:c r="C2" s="5" t="str">
        <x:v>FY2027 removes reported Q1 CFO less capex; terminal FCFF normalizes reinvestment through g / terminal ROIC. Units are $bn except per-share outputs.</x:v>
      </x:c>
      <x:c r="D2" s="5" t="str">
        <x:v>FY2027 removes reported Q1 CFO less capex; terminal FCFF normalizes reinvestment through g / terminal ROIC. Units are $bn except per-share outputs.</x:v>
      </x:c>
      <x:c r="E2" s="5" t="str">
        <x:v>FY2027 removes reported Q1 CFO less capex; terminal FCFF normalizes reinvestment through g / terminal ROIC. Units are $bn except per-share outputs.</x:v>
      </x:c>
      <x:c r="F2" s="5" t="str">
        <x:v>FY2027 removes reported Q1 CFO less capex; terminal FCFF normalizes reinvestment through g / terminal ROIC. Units are $bn except per-share outputs.</x:v>
      </x:c>
      <x:c r="G2" s="5" t="str">
        <x:v>FY2027 removes reported Q1 CFO less capex; terminal FCFF normalizes reinvestment through g / terminal ROIC. Units are $bn except per-share outputs.</x:v>
      </x:c>
      <x:c r="H2" s="5" t="str">
        <x:v>FY2027 removes reported Q1 CFO less capex; terminal FCFF normalizes reinvestment through g / terminal ROIC. Units are $bn except per-share outputs.</x:v>
      </x:c>
      <x:c r="I2" s="5" t="str">
        <x:v>FY2027 removes reported Q1 CFO less capex; terminal FCFF normalizes reinvestment through g / terminal ROIC. Units are $bn except per-share outputs.</x:v>
      </x:c>
      <x:c r="J2" s="5" t="str">
        <x:v>FY2027 removes reported Q1 CFO less capex; terminal FCFF normalizes reinvestment through g / terminal ROIC. Units are $bn except per-share outputs.</x:v>
      </x:c>
    </x:row>
    <x:row r="3" ht="15" hidden="0" customHeight="1">
      <x:c r="A3" s="26" t="str">
        <x:v>Fiscal year</x:v>
      </x:c>
      <x:c r="B3" s="26" t="n">
        <x:v>2027</x:v>
      </x:c>
      <x:c r="C3" s="26" t="n">
        <x:v>2028</x:v>
      </x:c>
      <x:c r="D3" s="26" t="n">
        <x:v>2029</x:v>
      </x:c>
      <x:c r="E3" s="26" t="n">
        <x:v>2030</x:v>
      </x:c>
      <x:c r="F3" s="26" t="n">
        <x:v>2031</x:v>
      </x:c>
      <x:c r="G3" s="26" t="n">
        <x:v>2032</x:v>
      </x:c>
    </x:row>
    <x:row r="4" ht="15" hidden="0" customHeight="1">
      <x:c r="A4" s="65" t="str">
        <x:v>BEAR DCF</x:v>
      </x:c>
      <x:c r="B4" s="65" t="str">
        <x:v>BEAR DCF</x:v>
      </x:c>
      <x:c r="C4" s="65" t="str">
        <x:v>BEAR DCF</x:v>
      </x:c>
      <x:c r="D4" s="65" t="str">
        <x:v>BEAR DCF</x:v>
      </x:c>
      <x:c r="E4" s="65" t="str">
        <x:v>BEAR DCF</x:v>
      </x:c>
      <x:c r="F4" s="65" t="str">
        <x:v>BEAR DCF</x:v>
      </x:c>
      <x:c r="G4" s="65" t="str">
        <x:v>BEAR DCF</x:v>
      </x:c>
      <x:c r="I4" s="26" t="str">
        <x:v>Summary</x:v>
      </x:c>
      <x:c r="J4" s="26" t="str">
        <x:v>Value</x:v>
      </x:c>
    </x:row>
    <x:row r="5" ht="15" hidden="0" customHeight="1">
      <x:c r="A5" s="10" t="str">
        <x:v>Revenue</x:v>
      </x:c>
      <x:c r="B5" s="80" t="n">
        <x:f>Scenarios!B5</x:f>
        <x:v>334.254</x:v>
      </x:c>
      <x:c r="C5" s="80" t="n">
        <x:f>Scenarios!C5</x:f>
        <x:v>415.81</x:v>
      </x:c>
      <x:c r="D5" s="80" t="n">
        <x:f>Scenarios!D5</x:f>
        <x:v>446.217</x:v>
      </x:c>
      <x:c r="E5" s="80" t="n">
        <x:f>Scenarios!E5</x:f>
        <x:v>432.052</x:v>
      </x:c>
      <x:c r="F5" s="80" t="n">
        <x:f>Scenarios!F5</x:f>
        <x:v>387.474</x:v>
      </x:c>
      <x:c r="G5" s="80" t="n">
        <x:f>Scenarios!G5</x:f>
        <x:v>334.723</x:v>
      </x:c>
      <x:c r="I5" s="10" t="str">
        <x:v>WACC</x:v>
      </x:c>
      <x:c r="J5" s="71" t="n">
        <x:f>Scenarios!B26</x:f>
        <x:v>0.1195</x:v>
      </x:c>
    </x:row>
    <x:row r="6" ht="15" hidden="0" customHeight="1">
      <x:c r="A6" s="10" t="str">
        <x:v>Growth</x:v>
      </x:c>
      <x:c r="B6" s="71" t="n">
        <x:f>B5/Drivers!$B$7-1</x:f>
        <x:v>0.5644493952896246</x:v>
      </x:c>
      <x:c r="C6" s="71" t="n">
        <x:f>C5/B5-1</x:f>
        <x:v>0.24399408832803782</x:v>
      </x:c>
      <x:c r="D6" s="71" t="n">
        <x:f>D5/C5-1</x:f>
        <x:v>0.07312714941920584</x:v>
      </x:c>
      <x:c r="E6" s="71" t="n">
        <x:f>E5/D5-1</x:f>
        <x:v>-0.031744644421884294</x:v>
      </x:c>
      <x:c r="F6" s="71" t="n">
        <x:f>F5/E5-1</x:f>
        <x:v>-0.1031773953135271</x:v>
      </x:c>
      <x:c r="G6" s="71" t="n">
        <x:f>G5/F5-1</x:f>
        <x:v>-0.1361407475082198</x:v>
      </x:c>
      <x:c r="I6" s="10" t="str">
        <x:v>Terminal growth</x:v>
      </x:c>
      <x:c r="J6" s="71" t="n">
        <x:f>Scenarios!C26</x:f>
        <x:v>0.02</x:v>
      </x:c>
    </x:row>
    <x:row r="7" ht="15" hidden="0" customHeight="1">
      <x:c r="A7" s="10" t="str">
        <x:v>EBITDA margin</x:v>
      </x:c>
      <x:c r="B7" s="71" t="n">
        <x:f>Scenarios!B6</x:f>
        <x:v>0.59</x:v>
      </x:c>
      <x:c r="C7" s="71" t="n">
        <x:f>Scenarios!C6</x:f>
        <x:v>0.57</x:v>
      </x:c>
      <x:c r="D7" s="71" t="n">
        <x:f>Scenarios!D6</x:f>
        <x:v>0.545</x:v>
      </x:c>
      <x:c r="E7" s="71" t="n">
        <x:f>Scenarios!E6</x:f>
        <x:v>0.52</x:v>
      </x:c>
      <x:c r="F7" s="71" t="n">
        <x:f>Scenarios!F6</x:f>
        <x:v>0.495</x:v>
      </x:c>
      <x:c r="G7" s="71" t="n">
        <x:f>Scenarios!G6</x:f>
        <x:v>0.48</x:v>
      </x:c>
      <x:c r="I7" s="10" t="str">
        <x:v>Terminal ROIC</x:v>
      </x:c>
      <x:c r="J7" s="71" t="n">
        <x:f>Scenarios!D26</x:f>
        <x:v>0.25</x:v>
      </x:c>
    </x:row>
    <x:row r="8" ht="15" hidden="0" customHeight="1">
      <x:c r="A8" s="10" t="str">
        <x:v>EBITDA</x:v>
      </x:c>
      <x:c r="B8" s="80" t="n">
        <x:f>B5*B7</x:f>
        <x:v>197.20986</x:v>
      </x:c>
      <x:c r="C8" s="80" t="n">
        <x:f>C5*C7</x:f>
        <x:v>237.0117</x:v>
      </x:c>
      <x:c r="D8" s="80" t="n">
        <x:f>D5*D7</x:f>
        <x:v>243.188265</x:v>
      </x:c>
      <x:c r="E8" s="80" t="n">
        <x:f>E5*E7</x:f>
        <x:v>224.66704000000001</x:v>
      </x:c>
      <x:c r="F8" s="80" t="n">
        <x:f>F5*F7</x:f>
        <x:v>191.79962999999998</x:v>
      </x:c>
      <x:c r="G8" s="80" t="n">
        <x:f>G5*G7</x:f>
        <x:v>160.66704000000001</x:v>
      </x:c>
      <x:c r="I8" s="10" t="str">
        <x:v>Terminal reinvestment</x:v>
      </x:c>
      <x:c r="J8" s="71" t="n">
        <x:f>J6/J7</x:f>
        <x:v>0.08</x:v>
      </x:c>
    </x:row>
    <x:row r="9" ht="15" hidden="0" customHeight="1">
      <x:c r="A9" s="10" t="str">
        <x:v>D&amp;A</x:v>
      </x:c>
      <x:c r="B9" s="80" t="n">
        <x:f>Depreciation!B13</x:f>
        <x:v>4.0479223</x:v>
      </x:c>
      <x:c r="C9" s="80" t="n">
        <x:f>Depreciation!C13</x:f>
        <x:v>5.297992499999999</x:v>
      </x:c>
      <x:c r="D9" s="80" t="n">
        <x:f>Depreciation!D13</x:f>
        <x:v>6.94731281</x:v>
      </x:c>
      <x:c r="E9" s="80" t="n">
        <x:f>Depreciation!E13</x:f>
        <x:v>8.72943082</x:v>
      </x:c>
      <x:c r="F9" s="80" t="n">
        <x:f>Depreciation!F13</x:f>
        <x:v>10.378303619999999</x:v>
      </x:c>
      <x:c r="G9" s="80" t="n">
        <x:f>Depreciation!G13</x:f>
        <x:v>11.052721819999999</x:v>
      </x:c>
      <x:c r="I9" s="10" t="str">
        <x:v>Terminal FCFF</x:v>
      </x:c>
      <x:c r="J9" s="80" t="n">
        <x:f>G13*(1-J8)</x:f>
        <x:v>113.55726749862</x:v>
      </x:c>
    </x:row>
    <x:row r="10" ht="15" hidden="0" customHeight="1">
      <x:c r="A10" s="10" t="str">
        <x:v>EBIT</x:v>
      </x:c>
      <x:c r="B10" s="80" t="n">
        <x:f>B8-B9</x:f>
        <x:v>193.16193769999998</x:v>
      </x:c>
      <x:c r="C10" s="80" t="n">
        <x:f>C8-C9</x:f>
        <x:v>231.7137075</x:v>
      </x:c>
      <x:c r="D10" s="80" t="n">
        <x:f>D8-D9</x:f>
        <x:v>236.24095219</x:v>
      </x:c>
      <x:c r="E10" s="80" t="n">
        <x:f>E8-E9</x:f>
        <x:v>215.93760918</x:v>
      </x:c>
      <x:c r="F10" s="80" t="n">
        <x:f>F8-F9</x:f>
        <x:v>181.42132637999998</x:v>
      </x:c>
      <x:c r="G10" s="80" t="n">
        <x:f>G8-G9</x:f>
        <x:v>149.61431818000003</x:v>
      </x:c>
      <x:c r="I10" s="10" t="str">
        <x:v>Terminal value</x:v>
      </x:c>
      <x:c r="J10" s="80" t="n">
        <x:f>J9*(1+J6)/(J5-J6)</x:f>
        <x:v>1164.1046517446473</x:v>
      </x:c>
    </x:row>
    <x:row r="11" ht="15" hidden="0" customHeight="1">
      <x:c r="A11" s="10" t="str">
        <x:v>EBIT margin</x:v>
      </x:c>
      <x:c r="B11" s="71" t="n">
        <x:f>B10/B5</x:f>
        <x:v>0.5778896817988715</x:v>
      </x:c>
      <x:c r="C11" s="71" t="n">
        <x:f>C10/C5</x:f>
        <x:v>0.5572586217262692</x:v>
      </x:c>
      <x:c r="D11" s="71" t="n">
        <x:f>D10/D5</x:f>
        <x:v>0.5294306406748286</x:v>
      </x:c>
      <x:c r="E11" s="71" t="n">
        <x:f>E10/E5</x:f>
        <x:v>0.49979541624619256</x:v>
      </x:c>
      <x:c r="F11" s="71" t="n">
        <x:f>F10/F5</x:f>
        <x:v>0.4682154838260115</x:v>
      </x:c>
      <x:c r="G11" s="71" t="n">
        <x:f>G10/G5</x:f>
        <x:v>0.44697949701693646</x:v>
      </x:c>
      <x:c r="I11" s="10" t="str">
        <x:v>Terminal period</x:v>
      </x:c>
      <x:c r="J11" s="87" t="n">
        <x:f>Drivers!B32</x:f>
        <x:v>5.47</x:v>
      </x:c>
    </x:row>
    <x:row r="12" ht="15" hidden="0" customHeight="1">
      <x:c r="A12" s="10" t="str">
        <x:v>Tax rate</x:v>
      </x:c>
      <x:c r="B12" s="71" t="n">
        <x:f>Scenarios!B8</x:f>
        <x:v>0.16</x:v>
      </x:c>
      <x:c r="C12" s="71" t="n">
        <x:f>Scenarios!C8</x:f>
        <x:v>0.17</x:v>
      </x:c>
      <x:c r="D12" s="71" t="n">
        <x:f>Scenarios!D8</x:f>
        <x:v>0.17</x:v>
      </x:c>
      <x:c r="E12" s="71" t="n">
        <x:f>Scenarios!E8</x:f>
        <x:v>0.175</x:v>
      </x:c>
      <x:c r="F12" s="71" t="n">
        <x:f>Scenarios!F8</x:f>
        <x:v>0.175</x:v>
      </x:c>
      <x:c r="G12" s="71" t="n">
        <x:f>Scenarios!G8</x:f>
        <x:v>0.175</x:v>
      </x:c>
      <x:c r="I12" s="10" t="str">
        <x:v>PV terminal</x:v>
      </x:c>
      <x:c r="J12" s="80" t="n">
        <x:f>J10/(1+J5)^J11</x:f>
        <x:v>627.8128623344669</x:v>
      </x:c>
    </x:row>
    <x:row r="13" ht="15" hidden="0" customHeight="1">
      <x:c r="A13" s="10" t="str">
        <x:v>NOPAT</x:v>
      </x:c>
      <x:c r="B13" s="80" t="n">
        <x:f>B10*(1-B12)</x:f>
        <x:v>162.25602766799997</x:v>
      </x:c>
      <x:c r="C13" s="80" t="n">
        <x:f>C10*(1-C12)</x:f>
        <x:v>192.322377225</x:v>
      </x:c>
      <x:c r="D13" s="80" t="n">
        <x:f>D10*(1-D12)</x:f>
        <x:v>196.07999031769998</x:v>
      </x:c>
      <x:c r="E13" s="80" t="n">
        <x:f>E10*(1-E12)</x:f>
        <x:v>178.1485275735</x:v>
      </x:c>
      <x:c r="F13" s="80" t="n">
        <x:f>F10*(1-F12)</x:f>
        <x:v>149.67259426349997</x:v>
      </x:c>
      <x:c r="G13" s="80" t="n">
        <x:f>G10*(1-G12)</x:f>
        <x:v>123.43181249850001</x:v>
      </x:c>
      <x:c r="I13" s="10" t="str">
        <x:v>PV explicit</x:v>
      </x:c>
      <x:c r="J13" s="80" t="n">
        <x:f>SUM(B22:G22)</x:f>
        <x:v>688.112931936296</x:v>
      </x:c>
    </x:row>
    <x:row r="14" ht="15" hidden="0" customHeight="1">
      <x:c r="A14" s="10" t="str">
        <x:v>Capex</x:v>
      </x:c>
      <x:c r="B14" s="80" t="n">
        <x:f>Scenarios!B5*Scenarios!B7</x:f>
        <x:v>11.698890000000002</x:v>
      </x:c>
      <x:c r="C14" s="80" t="n">
        <x:f>Scenarios!C5*Scenarios!C7</x:f>
        <x:v>15.38497</x:v>
      </x:c>
      <x:c r="D14" s="80" t="n">
        <x:f>Scenarios!D5*Scenarios!D7</x:f>
        <x:v>17.402463</x:v>
      </x:c>
      <x:c r="E14" s="80" t="n">
        <x:f>Scenarios!E5*Scenarios!E7</x:f>
        <x:v>17.28208</x:v>
      </x:c>
      <x:c r="F14" s="80" t="n">
        <x:f>Scenarios!F5*Scenarios!F7</x:f>
        <x:v>15.49896</x:v>
      </x:c>
      <x:c r="G14" s="80" t="n">
        <x:f>Scenarios!G5*Scenarios!G7</x:f>
        <x:v>13.38892</x:v>
      </x:c>
      <x:c r="I14" s="10" t="str">
        <x:v>Enterprise value</x:v>
      </x:c>
      <x:c r="J14" s="80" t="n">
        <x:f>J12+J13</x:f>
        <x:v>1315.925794270763</x:v>
      </x:c>
    </x:row>
    <x:row r="15" ht="15" hidden="0" customHeight="1">
      <x:c r="A15" s="10" t="str">
        <x:v>NWC / revenue</x:v>
      </x:c>
      <x:c r="B15" s="71" t="n">
        <x:f>Scenarios!B9</x:f>
        <x:v>0.115</x:v>
      </x:c>
      <x:c r="C15" s="71" t="n">
        <x:f>Scenarios!C9</x:f>
        <x:v>0.11</x:v>
      </x:c>
      <x:c r="D15" s="71" t="n">
        <x:f>Scenarios!D9</x:f>
        <x:v>0.105</x:v>
      </x:c>
      <x:c r="E15" s="71" t="n">
        <x:f>Scenarios!E9</x:f>
        <x:v>0.1</x:v>
      </x:c>
      <x:c r="F15" s="71" t="n">
        <x:f>Scenarios!F9</x:f>
        <x:v>0.095</x:v>
      </x:c>
      <x:c r="G15" s="71" t="n">
        <x:f>Scenarios!G9</x:f>
        <x:v>0.09</x:v>
      </x:c>
      <x:c r="I15" s="10" t="str">
        <x:v>Equity bridge</x:v>
      </x:c>
      <x:c r="J15" s="80" t="n">
        <x:f>'Equity Bridge'!B15</x:f>
        <x:v>79.72015</x:v>
      </x:c>
    </x:row>
    <x:row r="16" ht="15" hidden="0" customHeight="1">
      <x:c r="A16" s="10" t="str">
        <x:v>Change in NWC</x:v>
      </x:c>
      <x:c r="B16" s="80" t="n">
        <x:f>B5*B15-Drivers!$B$7*11.5%</x:f>
        <x:v>13.868770000000001</x:v>
      </x:c>
      <x:c r="C16" s="80" t="n">
        <x:f>C5*C15-B5*Scenarios!B9</x:f>
        <x:v>7.299889999999998</x:v>
      </x:c>
      <x:c r="D16" s="80" t="n">
        <x:f>D5*D15-C5*Scenarios!C9</x:f>
        <x:v>1.1136849999999967</x:v>
      </x:c>
      <x:c r="E16" s="80" t="n">
        <x:f>E5*E15-D5*Scenarios!D9</x:f>
        <x:v>-3.6475849999999923</x:v>
      </x:c>
      <x:c r="F16" s="80" t="n">
        <x:f>F5*F15-E5*Scenarios!E9</x:f>
        <x:v>-6.395170000000007</x:v>
      </x:c>
      <x:c r="G16" s="80" t="n">
        <x:f>G5*G15-F5*Scenarios!F9</x:f>
        <x:v>-6.684959999999997</x:v>
      </x:c>
      <x:c r="I16" s="10" t="str">
        <x:v>Equity value</x:v>
      </x:c>
      <x:c r="J16" s="80" t="n">
        <x:f>J14+J15</x:f>
        <x:v>1395.645944270763</x:v>
      </x:c>
    </x:row>
    <x:row r="17" ht="15" hidden="0" customHeight="1">
      <x:c r="A17" s="10" t="str">
        <x:v>Annual FCFF</x:v>
      </x:c>
      <x:c r="B17" s="80" t="n">
        <x:f>B13+B9-B14-B16</x:f>
        <x:v>140.73628996799997</x:v>
      </x:c>
      <x:c r="C17" s="80" t="n">
        <x:f>C13+C9-C14-C16</x:f>
        <x:v>174.93550972499997</x:v>
      </x:c>
      <x:c r="D17" s="80" t="n">
        <x:f>D13+D9-D14-D16</x:f>
        <x:v>184.51115512769996</x:v>
      </x:c>
      <x:c r="E17" s="80" t="n">
        <x:f>E13+E9-E14-E16</x:f>
        <x:v>173.24346339349998</x:v>
      </x:c>
      <x:c r="F17" s="80" t="n">
        <x:f>F13+F9-F14-F16</x:f>
        <x:v>150.94710788349997</x:v>
      </x:c>
      <x:c r="G17" s="80" t="n">
        <x:f>G13+G9-G14-G16</x:f>
        <x:v>127.78057431850002</x:v>
      </x:c>
      <x:c r="I17" s="10" t="str">
        <x:v>Diluted shares, bn</x:v>
      </x:c>
      <x:c r="J17" s="92" t="n">
        <x:f>Drivers!B6</x:f>
        <x:v>24.391</x:v>
      </x:c>
    </x:row>
    <x:row r="18" ht="15" hidden="0" customHeight="1">
      <x:c r="A18" s="10" t="str">
        <x:v>Less: reported Q1 FCF proxy</x:v>
      </x:c>
      <x:c r="B18" s="80" t="n">
        <x:f>Drivers!$B$12</x:f>
        <x:v>48.587</x:v>
      </x:c>
      <x:c r="C18" s="80" t="n">
        <x:f>0</x:f>
        <x:v>0</x:v>
      </x:c>
      <x:c r="D18" s="80" t="n">
        <x:f>0</x:f>
        <x:v>0</x:v>
      </x:c>
      <x:c r="E18" s="80" t="n">
        <x:f>0</x:f>
        <x:v>0</x:v>
      </x:c>
      <x:c r="F18" s="80" t="n">
        <x:f>0</x:f>
        <x:v>0</x:v>
      </x:c>
      <x:c r="G18" s="80" t="n">
        <x:f>0</x:f>
        <x:v>0</x:v>
      </x:c>
      <x:c r="I18" s="83" t="str">
        <x:v>Value per share</x:v>
      </x:c>
      <x:c r="J18" s="93" t="n">
        <x:f>J16/J17</x:f>
        <x:v>57.21970990409426</x:v>
      </x:c>
    </x:row>
    <x:row r="19" ht="15" hidden="0" customHeight="1">
      <x:c r="A19" s="10" t="str">
        <x:v>DCF FCFF</x:v>
      </x:c>
      <x:c r="B19" s="80" t="n">
        <x:f>B17-B18</x:f>
        <x:v>92.14928996799996</x:v>
      </x:c>
      <x:c r="C19" s="80" t="n">
        <x:f>C17-C18</x:f>
        <x:v>174.93550972499997</x:v>
      </x:c>
      <x:c r="D19" s="80" t="n">
        <x:f>D17-D18</x:f>
        <x:v>184.51115512769996</x:v>
      </x:c>
      <x:c r="E19" s="80" t="n">
        <x:f>E17-E18</x:f>
        <x:v>173.24346339349998</x:v>
      </x:c>
      <x:c r="F19" s="80" t="n">
        <x:f>F17-F18</x:f>
        <x:v>150.94710788349997</x:v>
      </x:c>
      <x:c r="G19" s="80" t="n">
        <x:f>G17-G18</x:f>
        <x:v>127.78057431850002</x:v>
      </x:c>
      <x:c r="I19" s="10" t="str">
        <x:v>Terminal value / EV</x:v>
      </x:c>
      <x:c r="J19" s="71" t="n">
        <x:f>J12/J14</x:f>
        <x:v>0.47708834728205735</x:v>
      </x:c>
    </x:row>
    <x:row r="20" ht="15" hidden="0" customHeight="1">
      <x:c r="A20" s="10" t="str">
        <x:v>Discount period</x:v>
      </x:c>
      <x:c r="B20" s="87" t="n">
        <x:f>Drivers!$B$31+0</x:f>
        <x:v>0.24</x:v>
      </x:c>
      <x:c r="C20" s="87" t="n">
        <x:f>Drivers!$B$31+0.72</x:f>
        <x:v>0.96</x:v>
      </x:c>
      <x:c r="D20" s="87" t="n">
        <x:f>Drivers!$B$31+1.72</x:f>
        <x:v>1.96</x:v>
      </x:c>
      <x:c r="E20" s="87" t="n">
        <x:f>Drivers!$B$31+2.7199999999999998</x:f>
        <x:v>2.96</x:v>
      </x:c>
      <x:c r="F20" s="87" t="n">
        <x:f>Drivers!$B$31+3.7199999999999998</x:f>
        <x:v>3.96</x:v>
      </x:c>
      <x:c r="G20" s="87" t="n">
        <x:f>Drivers!$B$31+4.72</x:f>
        <x:v>4.96</x:v>
      </x:c>
    </x:row>
    <x:row r="21" ht="15" hidden="0" customHeight="1">
      <x:c r="A21" s="10" t="str">
        <x:v>Discount factor</x:v>
      </x:c>
      <x:c r="B21" s="88" t="n">
        <x:f>1/(1+Scenarios!$B$26)^B20</x:f>
        <x:v>0.9732719711701213</x:v>
      </x:c>
      <x:c r="C21" s="88" t="n">
        <x:f>1/(1+Scenarios!$B$26)^C20</x:f>
        <x:v>0.8972983434993365</x:v>
      </x:c>
      <x:c r="D21" s="88" t="n">
        <x:f>1/(1+Scenarios!$B$26)^D20</x:f>
        <x:v>0.8015170553812744</x:v>
      </x:c>
      <x:c r="E21" s="88" t="n">
        <x:f>1/(1+Scenarios!$B$26)^E20</x:f>
        <x:v>0.7159598529533491</x:v>
      </x:c>
      <x:c r="F21" s="88" t="n">
        <x:f>1/(1+Scenarios!$B$26)^F20</x:f>
        <x:v>0.6395353755724423</x:v>
      </x:c>
      <x:c r="G21" s="88" t="n">
        <x:f>1/(1+Scenarios!$B$26)^G20</x:f>
        <x:v>0.5712687588856118</x:v>
      </x:c>
    </x:row>
    <x:row r="22" ht="15" hidden="0" customHeight="1">
      <x:c r="A22" s="10" t="str">
        <x:v>PV of FCFF</x:v>
      </x:c>
      <x:c r="B22" s="80" t="n">
        <x:f>B19*B21</x:f>
        <x:v>89.68632108908241</x:v>
      </x:c>
      <x:c r="C22" s="80" t="n">
        <x:f>C19*C21</x:f>
        <x:v>156.96934309545455</x:v>
      </x:c>
      <x:c r="D22" s="80" t="n">
        <x:f>D19*D21</x:f>
        <x:v>147.8888377429516</x:v>
      </x:c>
      <x:c r="E22" s="80" t="n">
        <x:f>E19*E21</x:f>
        <x:v>124.03536457633916</x:v>
      </x:c>
      <x:c r="F22" s="80" t="n">
        <x:f>F19*F21</x:f>
        <x:v>96.53601533184812</x:v>
      </x:c>
      <x:c r="G22" s="80" t="n">
        <x:f>G19*G21</x:f>
        <x:v>72.99705010062019</x:v>
      </x:c>
    </x:row>
    <x:row r="23"/>
    <x:row r="24"/>
    <x:row r="25"/>
    <x:row r="26"/>
    <x:row r="27" ht="15" hidden="0" customHeight="1">
      <x:c r="A27" s="68" t="str">
        <x:v>BASE DCF</x:v>
      </x:c>
      <x:c r="B27" s="68" t="str">
        <x:v>BASE DCF</x:v>
      </x:c>
      <x:c r="C27" s="68" t="str">
        <x:v>BASE DCF</x:v>
      </x:c>
      <x:c r="D27" s="68" t="str">
        <x:v>BASE DCF</x:v>
      </x:c>
      <x:c r="E27" s="68" t="str">
        <x:v>BASE DCF</x:v>
      </x:c>
      <x:c r="F27" s="68" t="str">
        <x:v>BASE DCF</x:v>
      </x:c>
      <x:c r="G27" s="68" t="str">
        <x:v>BASE DCF</x:v>
      </x:c>
      <x:c r="I27" s="26" t="str">
        <x:v>Summary</x:v>
      </x:c>
      <x:c r="J27" s="26" t="str">
        <x:v>Value</x:v>
      </x:c>
    </x:row>
    <x:row r="28" ht="15" hidden="0" customHeight="1">
      <x:c r="A28" s="10" t="str">
        <x:v>Revenue</x:v>
      </x:c>
      <x:c r="B28" s="80" t="n">
        <x:f>Scenarios!B12</x:f>
        <x:v>380.878</x:v>
      </x:c>
      <x:c r="C28" s="80" t="n">
        <x:f>Scenarios!C12</x:f>
        <x:v>551.877</x:v>
      </x:c>
      <x:c r="D28" s="80" t="n">
        <x:f>Scenarios!D12</x:f>
        <x:v>698.959</x:v>
      </x:c>
      <x:c r="E28" s="80" t="n">
        <x:f>Scenarios!E12</x:f>
        <x:v>805.464</x:v>
      </x:c>
      <x:c r="F28" s="80" t="n">
        <x:f>Scenarios!F12</x:f>
        <x:v>862.585</x:v>
      </x:c>
      <x:c r="G28" s="80" t="n">
        <x:f>Scenarios!G12</x:f>
        <x:v>889.459</x:v>
      </x:c>
      <x:c r="I28" s="10" t="str">
        <x:v>WACC</x:v>
      </x:c>
      <x:c r="J28" s="71" t="n">
        <x:f>Scenarios!B27</x:f>
        <x:v>0.107</x:v>
      </x:c>
    </x:row>
    <x:row r="29" ht="15" hidden="0" customHeight="1">
      <x:c r="A29" s="10" t="str">
        <x:v>Growth</x:v>
      </x:c>
      <x:c r="B29" s="71" t="n">
        <x:f>B28/Drivers!$B$7-1</x:f>
        <x:v>0.7826693376268392</x:v>
      </x:c>
      <x:c r="C29" s="71" t="n">
        <x:f>C28/B28-1</x:f>
        <x:v>0.4489600344467257</x:v>
      </x:c>
      <x:c r="D29" s="71" t="n">
        <x:f>D28/C28-1</x:f>
        <x:v>0.26651228444019237</x:v>
      </x:c>
      <x:c r="E29" s="71" t="n">
        <x:f>E28/D28-1</x:f>
        <x:v>0.15237660578088286</x:v>
      </x:c>
      <x:c r="F29" s="71" t="n">
        <x:f>F28/E28-1</x:f>
        <x:v>0.07091688765730053</x:v>
      </x:c>
      <x:c r="G29" s="71" t="n">
        <x:f>G28/F28-1</x:f>
        <x:v>0.03115519050296478</x:v>
      </x:c>
      <x:c r="I29" s="10" t="str">
        <x:v>Terminal growth</x:v>
      </x:c>
      <x:c r="J29" s="71" t="n">
        <x:f>Scenarios!C27</x:f>
        <x:v>0.03</x:v>
      </x:c>
    </x:row>
    <x:row r="30" ht="15" hidden="0" customHeight="1">
      <x:c r="A30" s="10" t="str">
        <x:v>EBITDA margin</x:v>
      </x:c>
      <x:c r="B30" s="71" t="n">
        <x:f>Scenarios!B13</x:f>
        <x:v>0.645</x:v>
      </x:c>
      <x:c r="C30" s="71" t="n">
        <x:f>Scenarios!C13</x:f>
        <x:v>0.625</x:v>
      </x:c>
      <x:c r="D30" s="71" t="n">
        <x:f>Scenarios!D13</x:f>
        <x:v>0.6</x:v>
      </x:c>
      <x:c r="E30" s="71" t="n">
        <x:f>Scenarios!E13</x:f>
        <x:v>0.575</x:v>
      </x:c>
      <x:c r="F30" s="71" t="n">
        <x:f>Scenarios!F13</x:f>
        <x:v>0.55</x:v>
      </x:c>
      <x:c r="G30" s="71" t="n">
        <x:f>Scenarios!G13</x:f>
        <x:v>0.535</x:v>
      </x:c>
      <x:c r="I30" s="10" t="str">
        <x:v>Terminal ROIC</x:v>
      </x:c>
      <x:c r="J30" s="71" t="n">
        <x:f>Scenarios!D27</x:f>
        <x:v>0.3</x:v>
      </x:c>
    </x:row>
    <x:row r="31" ht="15" hidden="0" customHeight="1">
      <x:c r="A31" s="10" t="str">
        <x:v>EBITDA</x:v>
      </x:c>
      <x:c r="B31" s="80" t="n">
        <x:f>B28*B30</x:f>
        <x:v>245.66631</x:v>
      </x:c>
      <x:c r="C31" s="80" t="n">
        <x:f>C28*C30</x:f>
        <x:v>344.92312499999997</x:v>
      </x:c>
      <x:c r="D31" s="80" t="n">
        <x:f>D28*D30</x:f>
        <x:v>419.37539999999996</x:v>
      </x:c>
      <x:c r="E31" s="80" t="n">
        <x:f>E28*E30</x:f>
        <x:v>463.1418</x:v>
      </x:c>
      <x:c r="F31" s="80" t="n">
        <x:f>F28*F30</x:f>
        <x:v>474.42175000000003</x:v>
      </x:c>
      <x:c r="G31" s="80" t="n">
        <x:f>G28*G30</x:f>
        <x:v>475.860565</x:v>
      </x:c>
      <x:c r="I31" s="10" t="str">
        <x:v>Terminal reinvestment</x:v>
      </x:c>
      <x:c r="J31" s="71" t="n">
        <x:f>J29/J30</x:f>
        <x:v>0.1</x:v>
      </x:c>
    </x:row>
    <x:row r="32" ht="15" hidden="0" customHeight="1">
      <x:c r="A32" s="10" t="str">
        <x:v>D&amp;A</x:v>
      </x:c>
      <x:c r="B32" s="80" t="n">
        <x:f>Depreciation!B25</x:f>
        <x:v>4.0288438</x:v>
      </x:c>
      <x:c r="C32" s="80" t="n">
        <x:f>Depreciation!C25</x:f>
        <x:v>5.41909208</x:v>
      </x:c>
      <x:c r="D32" s="80" t="n">
        <x:f>Depreciation!D25</x:f>
        <x:v>7.673018979999999</x:v>
      </x:c>
      <x:c r="E32" s="80" t="n">
        <x:f>Depreciation!E25</x:f>
        <x:v>10.6641282</x:v>
      </x:c>
      <x:c r="F32" s="80" t="n">
        <x:f>Depreciation!F25</x:f>
        <x:v>14.10504825</x:v>
      </x:c>
      <x:c r="G32" s="80" t="n">
        <x:f>Depreciation!G25</x:f>
        <x:v>17.066175649999998</x:v>
      </x:c>
      <x:c r="I32" s="10" t="str">
        <x:v>Terminal FCFF</x:v>
      </x:c>
      <x:c r="J32" s="80" t="n">
        <x:f>G36*(1-J31)</x:f>
        <x:v>340.654834092375</x:v>
      </x:c>
    </x:row>
    <x:row r="33" ht="15" hidden="0" customHeight="1">
      <x:c r="A33" s="10" t="str">
        <x:v>EBIT</x:v>
      </x:c>
      <x:c r="B33" s="80" t="n">
        <x:f>B31-B32</x:f>
        <x:v>241.6374662</x:v>
      </x:c>
      <x:c r="C33" s="80" t="n">
        <x:f>C31-C32</x:f>
        <x:v>339.50403292</x:v>
      </x:c>
      <x:c r="D33" s="80" t="n">
        <x:f>D31-D32</x:f>
        <x:v>411.70238101999996</x:v>
      </x:c>
      <x:c r="E33" s="80" t="n">
        <x:f>E31-E32</x:f>
        <x:v>452.4776718</x:v>
      </x:c>
      <x:c r="F33" s="80" t="n">
        <x:f>F31-F32</x:f>
        <x:v>460.31670175000005</x:v>
      </x:c>
      <x:c r="G33" s="80" t="n">
        <x:f>G31-G32</x:f>
        <x:v>458.79438935</x:v>
      </x:c>
      <x:c r="I33" s="10" t="str">
        <x:v>Terminal value</x:v>
      </x:c>
      <x:c r="J33" s="80" t="n">
        <x:f>J32*(1+J29)/(J28-J29)</x:f>
        <x:v>4556.811417079822</x:v>
      </x:c>
    </x:row>
    <x:row r="34" ht="15" hidden="0" customHeight="1">
      <x:c r="A34" s="10" t="str">
        <x:v>EBIT margin</x:v>
      </x:c>
      <x:c r="B34" s="71" t="n">
        <x:f>B33/B28</x:f>
        <x:v>0.6344222197133991</x:v>
      </x:c>
      <x:c r="C34" s="71" t="n">
        <x:f>C33/C28</x:f>
        <x:v>0.6151806161880274</x:v>
      </x:c>
      <x:c r="D34" s="71" t="n">
        <x:f>D33/D28</x:f>
        <x:v>0.5890222187853651</x:v>
      </x:c>
      <x:c r="E34" s="71" t="n">
        <x:f>E33/E28</x:f>
        <x:v>0.5617602671255326</x:v>
      </x:c>
      <x:c r="F34" s="71" t="n">
        <x:f>F33/F28</x:f>
        <x:v>0.5336479323776787</x:v>
      </x:c>
      <x:c r="G34" s="71" t="n">
        <x:f>G33/G28</x:f>
        <x:v>0.5158128585465998</x:v>
      </x:c>
      <x:c r="I34" s="10" t="str">
        <x:v>Terminal period</x:v>
      </x:c>
      <x:c r="J34" s="87" t="n">
        <x:f>Drivers!B32</x:f>
        <x:v>5.47</x:v>
      </x:c>
    </x:row>
    <x:row r="35" ht="15" hidden="0" customHeight="1">
      <x:c r="A35" s="10" t="str">
        <x:v>Tax rate</x:v>
      </x:c>
      <x:c r="B35" s="71" t="n">
        <x:f>Scenarios!B15</x:f>
        <x:v>0.16</x:v>
      </x:c>
      <x:c r="C35" s="71" t="n">
        <x:f>Scenarios!C15</x:f>
        <x:v>0.17</x:v>
      </x:c>
      <x:c r="D35" s="71" t="n">
        <x:f>Scenarios!D15</x:f>
        <x:v>0.17</x:v>
      </x:c>
      <x:c r="E35" s="71" t="n">
        <x:f>Scenarios!E15</x:f>
        <x:v>0.175</x:v>
      </x:c>
      <x:c r="F35" s="71" t="n">
        <x:f>Scenarios!F15</x:f>
        <x:v>0.175</x:v>
      </x:c>
      <x:c r="G35" s="71" t="n">
        <x:f>Scenarios!G15</x:f>
        <x:v>0.175</x:v>
      </x:c>
      <x:c r="I35" s="10" t="str">
        <x:v>PV terminal</x:v>
      </x:c>
      <x:c r="J35" s="80" t="n">
        <x:f>J33/(1+J28)^J34</x:f>
        <x:v>2613.2055358812268</x:v>
      </x:c>
    </x:row>
    <x:row r="36" ht="15" hidden="0" customHeight="1">
      <x:c r="A36" s="10" t="str">
        <x:v>NOPAT</x:v>
      </x:c>
      <x:c r="B36" s="80" t="n">
        <x:f>B33*(1-B35)</x:f>
        <x:v>202.975471608</x:v>
      </x:c>
      <x:c r="C36" s="80" t="n">
        <x:f>C33*(1-C35)</x:f>
        <x:v>281.78834732359996</x:v>
      </x:c>
      <x:c r="D36" s="80" t="n">
        <x:f>D33*(1-D35)</x:f>
        <x:v>341.71297624659996</x:v>
      </x:c>
      <x:c r="E36" s="80" t="n">
        <x:f>E33*(1-E35)</x:f>
        <x:v>373.29407923499997</x:v>
      </x:c>
      <x:c r="F36" s="80" t="n">
        <x:f>F33*(1-F35)</x:f>
        <x:v>379.76127894375</x:v>
      </x:c>
      <x:c r="G36" s="80" t="n">
        <x:f>G33*(1-G35)</x:f>
        <x:v>378.50537121375</x:v>
      </x:c>
      <x:c r="I36" s="10" t="str">
        <x:v>PV explicit</x:v>
      </x:c>
      <x:c r="J36" s="80" t="n">
        <x:f>SUM(B45:G45)</x:f>
        <x:v>1331.7503149945708</x:v>
      </x:c>
    </x:row>
    <x:row r="37" ht="15" hidden="0" customHeight="1">
      <x:c r="A37" s="10" t="str">
        <x:v>Capex</x:v>
      </x:c>
      <x:c r="B37" s="80" t="n">
        <x:f>Scenarios!B12*Scenarios!B14</x:f>
        <x:v>11.42634</x:v>
      </x:c>
      <x:c r="C37" s="80" t="n">
        <x:f>Scenarios!C12*Scenarios!C14</x:f>
        <x:v>17.660064</x:v>
      </x:c>
      <x:c r="D37" s="80" t="n">
        <x:f>Scenarios!D12*Scenarios!D14</x:f>
        <x:v>23.764606</x:v>
      </x:c>
      <x:c r="E37" s="80" t="n">
        <x:f>Scenarios!E12*Scenarios!E14</x:f>
        <x:v>28.191240000000004</x:v>
      </x:c>
      <x:c r="F37" s="80" t="n">
        <x:f>Scenarios!F12*Scenarios!F14</x:f>
        <x:v>30.190475000000003</x:v>
      </x:c>
      <x:c r="G37" s="80" t="n">
        <x:f>Scenarios!G12*Scenarios!G14</x:f>
        <x:v>31.131065</x:v>
      </x:c>
      <x:c r="I37" s="10" t="str">
        <x:v>Enterprise value</x:v>
      </x:c>
      <x:c r="J37" s="80" t="n">
        <x:f>J35+J36</x:f>
        <x:v>3944.9558508757973</x:v>
      </x:c>
    </x:row>
    <x:row r="38" ht="15" hidden="0" customHeight="1">
      <x:c r="A38" s="10" t="str">
        <x:v>NWC / revenue</x:v>
      </x:c>
      <x:c r="B38" s="71" t="n">
        <x:f>Scenarios!B16</x:f>
        <x:v>0.115</x:v>
      </x:c>
      <x:c r="C38" s="71" t="n">
        <x:f>Scenarios!C16</x:f>
        <x:v>0.11</x:v>
      </x:c>
      <x:c r="D38" s="71" t="n">
        <x:f>Scenarios!D16</x:f>
        <x:v>0.105</x:v>
      </x:c>
      <x:c r="E38" s="71" t="n">
        <x:f>Scenarios!E16</x:f>
        <x:v>0.1</x:v>
      </x:c>
      <x:c r="F38" s="71" t="n">
        <x:f>Scenarios!F16</x:f>
        <x:v>0.095</x:v>
      </x:c>
      <x:c r="G38" s="71" t="n">
        <x:f>Scenarios!G16</x:f>
        <x:v>0.09</x:v>
      </x:c>
      <x:c r="I38" s="10" t="str">
        <x:v>Equity bridge</x:v>
      </x:c>
      <x:c r="J38" s="80" t="n">
        <x:f>'Equity Bridge'!C15</x:f>
        <x:v>89.24845</x:v>
      </x:c>
    </x:row>
    <x:row r="39" ht="15" hidden="0" customHeight="1">
      <x:c r="A39" s="10" t="str">
        <x:v>Change in NWC</x:v>
      </x:c>
      <x:c r="B39" s="80" t="n">
        <x:f>B28*B38-Drivers!$B$7*11.5%</x:f>
        <x:v>19.230529999999998</x:v>
      </x:c>
      <x:c r="C39" s="80" t="n">
        <x:f>C28*C38-B28*Scenarios!B16</x:f>
        <x:v>16.905499999999996</x:v>
      </x:c>
      <x:c r="D39" s="80" t="n">
        <x:f>D28*D38-C28*Scenarios!C16</x:f>
        <x:v>12.684224999999998</x:v>
      </x:c>
      <x:c r="E39" s="80" t="n">
        <x:f>E28*E38-D28*Scenarios!D16</x:f>
        <x:v>7.155705000000012</x:v>
      </x:c>
      <x:c r="F39" s="80" t="n">
        <x:f>F28*F38-E28*Scenarios!E16</x:f>
        <x:v>1.3991749999999996</x:v>
      </x:c>
      <x:c r="G39" s="80" t="n">
        <x:f>G28*G38-F28*Scenarios!F16</x:f>
        <x:v>-1.8942650000000185</x:v>
      </x:c>
      <x:c r="I39" s="10" t="str">
        <x:v>Equity value</x:v>
      </x:c>
      <x:c r="J39" s="80" t="n">
        <x:f>J37+J38</x:f>
        <x:v>4034.2043008757973</x:v>
      </x:c>
    </x:row>
    <x:row r="40" ht="15" hidden="0" customHeight="1">
      <x:c r="A40" s="10" t="str">
        <x:v>Annual FCFF</x:v>
      </x:c>
      <x:c r="B40" s="80" t="n">
        <x:f>B36+B32-B37-B39</x:f>
        <x:v>176.347445408</x:v>
      </x:c>
      <x:c r="C40" s="80" t="n">
        <x:f>C36+C32-C37-C39</x:f>
        <x:v>252.64187540359998</x:v>
      </x:c>
      <x:c r="D40" s="80" t="n">
        <x:f>D36+D32-D37-D39</x:f>
        <x:v>312.9371642266</x:v>
      </x:c>
      <x:c r="E40" s="80" t="n">
        <x:f>E36+E32-E37-E39</x:f>
        <x:v>348.61126243499996</x:v>
      </x:c>
      <x:c r="F40" s="80" t="n">
        <x:f>F36+F32-F37-F39</x:f>
        <x:v>362.27667719375</x:v>
      </x:c>
      <x:c r="G40" s="80" t="n">
        <x:f>G36+G32-G37-G39</x:f>
        <x:v>366.33474686375</x:v>
      </x:c>
      <x:c r="I40" s="10" t="str">
        <x:v>Diluted shares, bn</x:v>
      </x:c>
      <x:c r="J40" s="92" t="n">
        <x:f>Drivers!B6</x:f>
        <x:v>24.391</x:v>
      </x:c>
    </x:row>
    <x:row r="41" ht="15" hidden="0" customHeight="1">
      <x:c r="A41" s="10" t="str">
        <x:v>Less: reported Q1 FCF proxy</x:v>
      </x:c>
      <x:c r="B41" s="80" t="n">
        <x:f>Drivers!$B$12</x:f>
        <x:v>48.587</x:v>
      </x:c>
      <x:c r="C41" s="80" t="n">
        <x:f>0</x:f>
        <x:v>0</x:v>
      </x:c>
      <x:c r="D41" s="80" t="n">
        <x:f>0</x:f>
        <x:v>0</x:v>
      </x:c>
      <x:c r="E41" s="80" t="n">
        <x:f>0</x:f>
        <x:v>0</x:v>
      </x:c>
      <x:c r="F41" s="80" t="n">
        <x:f>0</x:f>
        <x:v>0</x:v>
      </x:c>
      <x:c r="G41" s="80" t="n">
        <x:f>0</x:f>
        <x:v>0</x:v>
      </x:c>
      <x:c r="I41" s="83" t="str">
        <x:v>Value per share</x:v>
      </x:c>
      <x:c r="J41" s="93" t="n">
        <x:f>J39/J40</x:f>
        <x:v>165.39724902118806</x:v>
      </x:c>
    </x:row>
    <x:row r="42" ht="15" hidden="0" customHeight="1">
      <x:c r="A42" s="10" t="str">
        <x:v>DCF FCFF</x:v>
      </x:c>
      <x:c r="B42" s="80" t="n">
        <x:f>B40-B41</x:f>
        <x:v>127.760445408</x:v>
      </x:c>
      <x:c r="C42" s="80" t="n">
        <x:f>C40-C41</x:f>
        <x:v>252.64187540359998</x:v>
      </x:c>
      <x:c r="D42" s="80" t="n">
        <x:f>D40-D41</x:f>
        <x:v>312.9371642266</x:v>
      </x:c>
      <x:c r="E42" s="80" t="n">
        <x:f>E40-E41</x:f>
        <x:v>348.61126243499996</x:v>
      </x:c>
      <x:c r="F42" s="80" t="n">
        <x:f>F40-F41</x:f>
        <x:v>362.27667719375</x:v>
      </x:c>
      <x:c r="G42" s="80" t="n">
        <x:f>G40-G41</x:f>
        <x:v>366.33474686375</x:v>
      </x:c>
      <x:c r="I42" s="10" t="str">
        <x:v>Terminal value / EV</x:v>
      </x:c>
      <x:c r="J42" s="71" t="n">
        <x:f>J35/J37</x:f>
        <x:v>0.6624169280122828</x:v>
      </x:c>
    </x:row>
    <x:row r="43" ht="15" hidden="0" customHeight="1">
      <x:c r="A43" s="10" t="str">
        <x:v>Discount period</x:v>
      </x:c>
      <x:c r="B43" s="87" t="n">
        <x:f>Drivers!$B$31+0</x:f>
        <x:v>0.24</x:v>
      </x:c>
      <x:c r="C43" s="87" t="n">
        <x:f>Drivers!$B$31+0.72</x:f>
        <x:v>0.96</x:v>
      </x:c>
      <x:c r="D43" s="87" t="n">
        <x:f>Drivers!$B$31+1.72</x:f>
        <x:v>1.96</x:v>
      </x:c>
      <x:c r="E43" s="87" t="n">
        <x:f>Drivers!$B$31+2.7199999999999998</x:f>
        <x:v>2.96</x:v>
      </x:c>
      <x:c r="F43" s="87" t="n">
        <x:f>Drivers!$B$31+3.7199999999999998</x:f>
        <x:v>3.96</x:v>
      </x:c>
      <x:c r="G43" s="87" t="n">
        <x:f>Drivers!$B$31+4.72</x:f>
        <x:v>4.96</x:v>
      </x:c>
    </x:row>
    <x:row r="44" ht="15" hidden="0" customHeight="1">
      <x:c r="A44" s="10" t="str">
        <x:v>Discount factor</x:v>
      </x:c>
      <x:c r="B44" s="88" t="n">
        <x:f>1/(1+Scenarios!$B$27)^B43</x:f>
        <x:v>0.9758983213952425</x:v>
      </x:c>
      <x:c r="C44" s="88" t="n">
        <x:f>1/(1+Scenarios!$B$27)^C43</x:f>
        <x:v>0.9070229667004035</x:v>
      </x:c>
      <x:c r="D44" s="88" t="n">
        <x:f>1/(1+Scenarios!$B$27)^D43</x:f>
        <x:v>0.8193522734420989</x:v>
      </x:c>
      <x:c r="E44" s="88" t="n">
        <x:f>1/(1+Scenarios!$B$27)^E43</x:f>
        <x:v>0.740155621898915</x:v>
      </x:c>
      <x:c r="F44" s="88" t="n">
        <x:f>1/(1+Scenarios!$B$27)^F43</x:f>
        <x:v>0.6686139312546658</x:v>
      </x:c>
      <x:c r="G44" s="88" t="n">
        <x:f>1/(1+Scenarios!$B$27)^G43</x:f>
        <x:v>0.6039872911062926</x:v>
      </x:c>
    </x:row>
    <x:row r="45" ht="15" hidden="0" customHeight="1">
      <x:c r="A45" s="10" t="str">
        <x:v>PV of FCFF</x:v>
      </x:c>
      <x:c r="B45" s="80" t="n">
        <x:f>B42*B44</x:f>
        <x:v>124.68120421437571</x:v>
      </x:c>
      <x:c r="C45" s="80" t="n">
        <x:f>C42*C44</x:f>
        <x:v>229.15198334132697</x:v>
      </x:c>
      <x:c r="D45" s="80" t="n">
        <x:f>D42*D44</x:f>
        <x:v>256.40577695358814</x:v>
      </x:c>
      <x:c r="E45" s="80" t="n">
        <x:f>E42*E44</x:f>
        <x:v>258.02658574854325</x:v>
      </x:c>
      <x:c r="F45" s="80" t="n">
        <x:f>F42*F44</x:f>
        <x:v>242.22323334039072</x:v>
      </x:c>
      <x:c r="G45" s="80" t="n">
        <x:f>G42*G44</x:f>
        <x:v>221.2615313963458</x:v>
      </x:c>
    </x:row>
    <x:row r="46"/>
    <x:row r="47"/>
    <x:row r="48"/>
    <x:row r="49"/>
    <x:row r="50" ht="15" hidden="0" customHeight="1">
      <x:c r="A50" s="65" t="str">
        <x:v>BULL DCF</x:v>
      </x:c>
      <x:c r="B50" s="65" t="str">
        <x:v>BULL DCF</x:v>
      </x:c>
      <x:c r="C50" s="65" t="str">
        <x:v>BULL DCF</x:v>
      </x:c>
      <x:c r="D50" s="65" t="str">
        <x:v>BULL DCF</x:v>
      </x:c>
      <x:c r="E50" s="65" t="str">
        <x:v>BULL DCF</x:v>
      </x:c>
      <x:c r="F50" s="65" t="str">
        <x:v>BULL DCF</x:v>
      </x:c>
      <x:c r="G50" s="65" t="str">
        <x:v>BULL DCF</x:v>
      </x:c>
      <x:c r="I50" s="26" t="str">
        <x:v>Summary</x:v>
      </x:c>
      <x:c r="J50" s="26" t="str">
        <x:v>Value</x:v>
      </x:c>
    </x:row>
    <x:row r="51" ht="15" hidden="0" customHeight="1">
      <x:c r="A51" s="10" t="str">
        <x:v>Revenue</x:v>
      </x:c>
      <x:c r="B51" s="80" t="n">
        <x:f>Scenarios!B19</x:f>
        <x:v>417.307</x:v>
      </x:c>
      <x:c r="C51" s="80" t="n">
        <x:f>Scenarios!C19</x:f>
        <x:v>672.504</x:v>
      </x:c>
      <x:c r="D51" s="80" t="n">
        <x:f>Scenarios!D19</x:f>
        <x:v>956.101</x:v>
      </x:c>
      <x:c r="E51" s="80" t="n">
        <x:f>Scenarios!E19</x:f>
        <x:v>1245.059</x:v>
      </x:c>
      <x:c r="F51" s="80" t="n">
        <x:f>Scenarios!F19</x:f>
        <x:v>1513.25</x:v>
      </x:c>
      <x:c r="G51" s="80" t="n">
        <x:f>Scenarios!G19</x:f>
        <x:v>1775.787</x:v>
      </x:c>
      <x:c r="I51" s="10" t="str">
        <x:v>WACC</x:v>
      </x:c>
      <x:c r="J51" s="71" t="n">
        <x:f>Scenarios!B28</x:f>
        <x:v>0.0995</x:v>
      </x:c>
    </x:row>
    <x:row r="52" ht="15" hidden="0" customHeight="1">
      <x:c r="A52" s="10" t="str">
        <x:v>Growth</x:v>
      </x:c>
      <x:c r="B52" s="71" t="n">
        <x:f>B51/Drivers!$B$7-1</x:f>
        <x:v>0.9531723892612425</x:v>
      </x:c>
      <x:c r="C52" s="71" t="n">
        <x:f>C51/B51-1</x:f>
        <x:v>0.6115329960916065</x:v>
      </x:c>
      <x:c r="D52" s="71" t="n">
        <x:f>D51/C51-1</x:f>
        <x:v>0.4217030679371423</x:v>
      </x:c>
      <x:c r="E52" s="71" t="n">
        <x:f>E51/D51-1</x:f>
        <x:v>0.30222539250560354</x:v>
      </x:c>
      <x:c r="F52" s="71" t="n">
        <x:f>F51/E51-1</x:f>
        <x:v>0.21540424991908025</x:v>
      </x:c>
      <x:c r="G52" s="71" t="n">
        <x:f>G51/F51-1</x:f>
        <x:v>0.1734921526515778</x:v>
      </x:c>
      <x:c r="I52" s="10" t="str">
        <x:v>Terminal growth</x:v>
      </x:c>
      <x:c r="J52" s="71" t="n">
        <x:f>Scenarios!C28</x:f>
        <x:v>0.035</x:v>
      </x:c>
    </x:row>
    <x:row r="53" ht="15" hidden="0" customHeight="1">
      <x:c r="A53" s="10" t="str">
        <x:v>EBITDA margin</x:v>
      </x:c>
      <x:c r="B53" s="71" t="n">
        <x:f>Scenarios!B20</x:f>
        <x:v>0.675</x:v>
      </x:c>
      <x:c r="C53" s="71" t="n">
        <x:f>Scenarios!C20</x:f>
        <x:v>0.655</x:v>
      </x:c>
      <x:c r="D53" s="71" t="n">
        <x:f>Scenarios!D20</x:f>
        <x:v>0.63</x:v>
      </x:c>
      <x:c r="E53" s="71" t="n">
        <x:f>Scenarios!E20</x:f>
        <x:v>0.605</x:v>
      </x:c>
      <x:c r="F53" s="71" t="n">
        <x:f>Scenarios!F20</x:f>
        <x:v>0.58</x:v>
      </x:c>
      <x:c r="G53" s="71" t="n">
        <x:f>Scenarios!G20</x:f>
        <x:v>0.565</x:v>
      </x:c>
      <x:c r="I53" s="10" t="str">
        <x:v>Terminal ROIC</x:v>
      </x:c>
      <x:c r="J53" s="71" t="n">
        <x:f>Scenarios!D28</x:f>
        <x:v>0.35</x:v>
      </x:c>
    </x:row>
    <x:row r="54" ht="15" hidden="0" customHeight="1">
      <x:c r="A54" s="10" t="str">
        <x:v>EBITDA</x:v>
      </x:c>
      <x:c r="B54" s="80" t="n">
        <x:f>B51*B53</x:f>
        <x:v>281.682225</x:v>
      </x:c>
      <x:c r="C54" s="80" t="n">
        <x:f>C51*C53</x:f>
        <x:v>440.49012000000005</x:v>
      </x:c>
      <x:c r="D54" s="80" t="n">
        <x:f>D51*D53</x:f>
        <x:v>602.34363</x:v>
      </x:c>
      <x:c r="E54" s="80" t="n">
        <x:f>E51*E53</x:f>
        <x:v>753.2606949999999</x:v>
      </x:c>
      <x:c r="F54" s="80" t="n">
        <x:f>F51*F53</x:f>
        <x:v>877.685</x:v>
      </x:c>
      <x:c r="G54" s="80" t="n">
        <x:f>G51*G53</x:f>
        <x:v>1003.3196549999999</x:v>
      </x:c>
      <x:c r="I54" s="10" t="str">
        <x:v>Terminal reinvestment</x:v>
      </x:c>
      <x:c r="J54" s="71" t="n">
        <x:f>J52/J53</x:f>
        <x:v>0.10000000000000002</x:v>
      </x:c>
    </x:row>
    <x:row r="55" ht="15" hidden="0" customHeight="1">
      <x:c r="A55" s="10" t="str">
        <x:v>D&amp;A</x:v>
      </x:c>
      <x:c r="B55" s="80" t="n">
        <x:f>Depreciation!B37</x:f>
        <x:v>4.0177102300000005</x:v>
      </x:c>
      <x:c r="C55" s="80" t="n">
        <x:f>Depreciation!C37</x:f>
        <x:v>5.52580358</x:v>
      </x:c>
      <x:c r="D55" s="80" t="n">
        <x:f>Depreciation!D37</x:f>
        <x:v>8.31992587</x:v>
      </x:c>
      <x:c r="E55" s="80" t="n">
        <x:f>Depreciation!E37</x:f>
        <x:v>12.5377972</x:v>
      </x:c>
      <x:c r="F55" s="80" t="n">
        <x:f>Depreciation!F37</x:f>
        <x:v>18.07060936</x:v>
      </x:c>
      <x:c r="G55" s="80" t="n">
        <x:f>Depreciation!G37</x:f>
        <x:v>24.1162149</x:v>
      </x:c>
      <x:c r="I55" s="10" t="str">
        <x:v>Terminal FCFF</x:v>
      </x:c>
      <x:c r="J55" s="80" t="n">
        <x:f>G59*(1-J54)</x:f>
        <x:v>727.0585542742499</x:v>
      </x:c>
    </x:row>
    <x:row r="56" ht="15" hidden="0" customHeight="1">
      <x:c r="A56" s="10" t="str">
        <x:v>EBIT</x:v>
      </x:c>
      <x:c r="B56" s="80" t="n">
        <x:f>B54-B55</x:f>
        <x:v>277.66451477000004</x:v>
      </x:c>
      <x:c r="C56" s="80" t="n">
        <x:f>C54-C55</x:f>
        <x:v>434.96431642000005</x:v>
      </x:c>
      <x:c r="D56" s="80" t="n">
        <x:f>D54-D55</x:f>
        <x:v>594.0237041299999</x:v>
      </x:c>
      <x:c r="E56" s="80" t="n">
        <x:f>E54-E55</x:f>
        <x:v>740.7228977999999</x:v>
      </x:c>
      <x:c r="F56" s="80" t="n">
        <x:f>F54-F55</x:f>
        <x:v>859.6143906399999</x:v>
      </x:c>
      <x:c r="G56" s="80" t="n">
        <x:f>G54-G55</x:f>
        <x:v>979.2034400999999</x:v>
      </x:c>
      <x:c r="I56" s="10" t="str">
        <x:v>Terminal value</x:v>
      </x:c>
      <x:c r="J56" s="80" t="n">
        <x:f>J55*(1+J52)/(J51-J52)</x:f>
        <x:v>11666.753545330985</x:v>
      </x:c>
    </x:row>
    <x:row r="57" ht="15" hidden="0" customHeight="1">
      <x:c r="A57" s="10" t="str">
        <x:v>EBIT margin</x:v>
      </x:c>
      <x:c r="B57" s="71" t="n">
        <x:f>B56/B51</x:f>
        <x:v>0.6653722913107137</x:v>
      </x:c>
      <x:c r="C57" s="71" t="n">
        <x:f>C56/C51</x:f>
        <x:v>0.6467832405755208</x:v>
      </x:c>
      <x:c r="D57" s="71" t="n">
        <x:f>D56/D51</x:f>
        <x:v>0.6212980680179185</x:v>
      </x:c>
      <x:c r="E57" s="71" t="n">
        <x:f>E56/E51</x:f>
        <x:v>0.5949299573755139</x:v>
      </x:c>
      <x:c r="F57" s="71" t="n">
        <x:f>F56/F51</x:f>
        <x:v>0.5680584111283661</x:v>
      </x:c>
      <x:c r="G57" s="71" t="n">
        <x:f>G56/G51</x:f>
        <x:v>0.5514194214170955</x:v>
      </x:c>
      <x:c r="I57" s="10" t="str">
        <x:v>Terminal period</x:v>
      </x:c>
      <x:c r="J57" s="87" t="n">
        <x:f>Drivers!B32</x:f>
        <x:v>5.47</x:v>
      </x:c>
    </x:row>
    <x:row r="58" ht="15" hidden="0" customHeight="1">
      <x:c r="A58" s="10" t="str">
        <x:v>Tax rate</x:v>
      </x:c>
      <x:c r="B58" s="71" t="n">
        <x:f>Scenarios!B22</x:f>
        <x:v>0.16</x:v>
      </x:c>
      <x:c r="C58" s="71" t="n">
        <x:f>Scenarios!C22</x:f>
        <x:v>0.17</x:v>
      </x:c>
      <x:c r="D58" s="71" t="n">
        <x:f>Scenarios!D22</x:f>
        <x:v>0.17</x:v>
      </x:c>
      <x:c r="E58" s="71" t="n">
        <x:f>Scenarios!E22</x:f>
        <x:v>0.175</x:v>
      </x:c>
      <x:c r="F58" s="71" t="n">
        <x:f>Scenarios!F22</x:f>
        <x:v>0.175</x:v>
      </x:c>
      <x:c r="G58" s="71" t="n">
        <x:f>Scenarios!G22</x:f>
        <x:v>0.175</x:v>
      </x:c>
      <x:c r="I58" s="10" t="str">
        <x:v>PV terminal</x:v>
      </x:c>
      <x:c r="J58" s="80" t="n">
        <x:f>J56/(1+J51)^J57</x:f>
        <x:v>6944.038105574196</x:v>
      </x:c>
    </x:row>
    <x:row r="59" ht="15" hidden="0" customHeight="1">
      <x:c r="A59" s="10" t="str">
        <x:v>NOPAT</x:v>
      </x:c>
      <x:c r="B59" s="80" t="n">
        <x:f>B56*(1-B58)</x:f>
        <x:v>233.2381924068</x:v>
      </x:c>
      <x:c r="C59" s="80" t="n">
        <x:f>C56*(1-C58)</x:f>
        <x:v>361.02038262860003</x:v>
      </x:c>
      <x:c r="D59" s="80" t="n">
        <x:f>D56*(1-D58)</x:f>
        <x:v>493.0396744278999</x:v>
      </x:c>
      <x:c r="E59" s="80" t="n">
        <x:f>E56*(1-E58)</x:f>
        <x:v>611.096390685</x:v>
      </x:c>
      <x:c r="F59" s="80" t="n">
        <x:f>F56*(1-F58)</x:f>
        <x:v>709.1818722779999</x:v>
      </x:c>
      <x:c r="G59" s="80" t="n">
        <x:f>G56*(1-G58)</x:f>
        <x:v>807.8428380824998</x:v>
      </x:c>
      <x:c r="I59" s="10" t="str">
        <x:v>PV explicit</x:v>
      </x:c>
      <x:c r="J59" s="80" t="n">
        <x:f>SUM(B68:G68)</x:f>
        <x:v>2163.281154041855</x:v>
      </x:c>
    </x:row>
    <x:row r="60" ht="15" hidden="0" customHeight="1">
      <x:c r="A60" s="10" t="str">
        <x:v>Capex</x:v>
      </x:c>
      <x:c r="B60" s="80" t="n">
        <x:f>Scenarios!B19*Scenarios!B21</x:f>
        <x:v>11.267289</x:v>
      </x:c>
      <x:c r="C60" s="80" t="n">
        <x:f>Scenarios!C19*Scenarios!C21</x:f>
        <x:v>19.502616000000003</x:v>
      </x:c>
      <x:c r="D60" s="80" t="n">
        <x:f>Scenarios!D19*Scenarios!D21</x:f>
        <x:v>29.639131</x:v>
      </x:c>
      <x:c r="E60" s="80" t="n">
        <x:f>Scenarios!E19*Scenarios!E21</x:f>
        <x:v>39.841888</x:v>
      </x:c>
      <x:c r="F60" s="80" t="n">
        <x:f>Scenarios!F19*Scenarios!F21</x:f>
        <x:v>48.424</x:v>
      </x:c>
      <x:c r="G60" s="80" t="n">
        <x:f>Scenarios!G19*Scenarios!G21</x:f>
        <x:v>56.825184</x:v>
      </x:c>
      <x:c r="I60" s="10" t="str">
        <x:v>Enterprise value</x:v>
      </x:c>
      <x:c r="J60" s="80" t="n">
        <x:f>J58+J59</x:f>
        <x:v>9107.319259616052</x:v>
      </x:c>
    </x:row>
    <x:row r="61" ht="15" hidden="0" customHeight="1">
      <x:c r="A61" s="10" t="str">
        <x:v>NWC / revenue</x:v>
      </x:c>
      <x:c r="B61" s="71" t="n">
        <x:f>Scenarios!B23</x:f>
        <x:v>0.115</x:v>
      </x:c>
      <x:c r="C61" s="71" t="n">
        <x:f>Scenarios!C23</x:f>
        <x:v>0.11</x:v>
      </x:c>
      <x:c r="D61" s="71" t="n">
        <x:f>Scenarios!D23</x:f>
        <x:v>0.105</x:v>
      </x:c>
      <x:c r="E61" s="71" t="n">
        <x:f>Scenarios!E23</x:f>
        <x:v>0.1</x:v>
      </x:c>
      <x:c r="F61" s="71" t="n">
        <x:f>Scenarios!F23</x:f>
        <x:v>0.095</x:v>
      </x:c>
      <x:c r="G61" s="71" t="n">
        <x:f>Scenarios!G23</x:f>
        <x:v>0.09</x:v>
      </x:c>
      <x:c r="I61" s="10" t="str">
        <x:v>Equity bridge</x:v>
      </x:c>
      <x:c r="J61" s="80" t="n">
        <x:f>'Equity Bridge'!D15</x:f>
        <x:v>104.625</x:v>
      </x:c>
    </x:row>
    <x:row r="62" ht="15" hidden="0" customHeight="1">
      <x:c r="A62" s="10" t="str">
        <x:v>Change in NWC</x:v>
      </x:c>
      <x:c r="B62" s="80" t="n">
        <x:f>B51*B61-Drivers!$B$7*11.5%</x:f>
        <x:v>23.419865000000005</x:v>
      </x:c>
      <x:c r="C62" s="80" t="n">
        <x:f>C51*C61-B51*Scenarios!B23</x:f>
        <x:v>25.985135</x:v>
      </x:c>
      <x:c r="D62" s="80" t="n">
        <x:f>D51*D61-C51*Scenarios!C23</x:f>
        <x:v>26.415164999999988</x:v>
      </x:c>
      <x:c r="E62" s="80" t="n">
        <x:f>E51*E61-D51*Scenarios!D23</x:f>
        <x:v>24.115295000000003</x:v>
      </x:c>
      <x:c r="F62" s="80" t="n">
        <x:f>F51*F61-E51*Scenarios!E23</x:f>
        <x:v>19.252849999999995</x:v>
      </x:c>
      <x:c r="G62" s="80" t="n">
        <x:f>G51*G61-F51*Scenarios!F23</x:f>
        <x:v>16.06208000000001</x:v>
      </x:c>
      <x:c r="I62" s="10" t="str">
        <x:v>Equity value</x:v>
      </x:c>
      <x:c r="J62" s="80" t="n">
        <x:f>J60+J61</x:f>
        <x:v>9211.944259616052</x:v>
      </x:c>
    </x:row>
    <x:row r="63" ht="15" hidden="0" customHeight="1">
      <x:c r="A63" s="10" t="str">
        <x:v>Annual FCFF</x:v>
      </x:c>
      <x:c r="B63" s="80" t="n">
        <x:f>B59+B55-B60-B62</x:f>
        <x:v>202.5687486368</x:v>
      </x:c>
      <x:c r="C63" s="80" t="n">
        <x:f>C59+C55-C60-C62</x:f>
        <x:v>321.05843520860003</x:v>
      </x:c>
      <x:c r="D63" s="80" t="n">
        <x:f>D59+D55-D60-D62</x:f>
        <x:v>445.3053042978999</x:v>
      </x:c>
      <x:c r="E63" s="80" t="n">
        <x:f>E59+E55-E60-E62</x:f>
        <x:v>559.6770048849999</x:v>
      </x:c>
      <x:c r="F63" s="80" t="n">
        <x:f>F59+F55-F60-F62</x:f>
        <x:v>659.575631638</x:v>
      </x:c>
      <x:c r="G63" s="80" t="n">
        <x:f>G59+G55-G60-G62</x:f>
        <x:v>759.0717889824998</x:v>
      </x:c>
      <x:c r="I63" s="10" t="str">
        <x:v>Diluted shares, bn</x:v>
      </x:c>
      <x:c r="J63" s="92" t="n">
        <x:f>Drivers!B6</x:f>
        <x:v>24.391</x:v>
      </x:c>
    </x:row>
    <x:row r="64" ht="15" hidden="0" customHeight="1">
      <x:c r="A64" s="10" t="str">
        <x:v>Less: reported Q1 FCF proxy</x:v>
      </x:c>
      <x:c r="B64" s="80" t="n">
        <x:f>Drivers!$B$12</x:f>
        <x:v>48.587</x:v>
      </x:c>
      <x:c r="C64" s="80" t="n">
        <x:f>0</x:f>
        <x:v>0</x:v>
      </x:c>
      <x:c r="D64" s="80" t="n">
        <x:f>0</x:f>
        <x:v>0</x:v>
      </x:c>
      <x:c r="E64" s="80" t="n">
        <x:f>0</x:f>
        <x:v>0</x:v>
      </x:c>
      <x:c r="F64" s="80" t="n">
        <x:f>0</x:f>
        <x:v>0</x:v>
      </x:c>
      <x:c r="G64" s="80" t="n">
        <x:f>0</x:f>
        <x:v>0</x:v>
      </x:c>
      <x:c r="I64" s="83" t="str">
        <x:v>Value per share</x:v>
      </x:c>
      <x:c r="J64" s="93" t="n">
        <x:f>J62/J63</x:f>
        <x:v>377.6780066260527</x:v>
      </x:c>
    </x:row>
    <x:row r="65" ht="15" hidden="0" customHeight="1">
      <x:c r="A65" s="10" t="str">
        <x:v>DCF FCFF</x:v>
      </x:c>
      <x:c r="B65" s="80" t="n">
        <x:f>B63-B64</x:f>
        <x:v>153.98174863679998</x:v>
      </x:c>
      <x:c r="C65" s="80" t="n">
        <x:f>C63-C64</x:f>
        <x:v>321.05843520860003</x:v>
      </x:c>
      <x:c r="D65" s="80" t="n">
        <x:f>D63-D64</x:f>
        <x:v>445.3053042978999</x:v>
      </x:c>
      <x:c r="E65" s="80" t="n">
        <x:f>E63-E64</x:f>
        <x:v>559.6770048849999</x:v>
      </x:c>
      <x:c r="F65" s="80" t="n">
        <x:f>F63-F64</x:f>
        <x:v>659.575631638</x:v>
      </x:c>
      <x:c r="G65" s="80" t="n">
        <x:f>G63-G64</x:f>
        <x:v>759.0717889824998</x:v>
      </x:c>
      <x:c r="I65" s="10" t="str">
        <x:v>Terminal value / EV</x:v>
      </x:c>
      <x:c r="J65" s="71" t="n">
        <x:f>J58/J60</x:f>
        <x:v>0.7624678467532876</x:v>
      </x:c>
    </x:row>
    <x:row r="66" ht="15" hidden="0" customHeight="1">
      <x:c r="A66" s="10" t="str">
        <x:v>Discount period</x:v>
      </x:c>
      <x:c r="B66" s="87" t="n">
        <x:f>Drivers!$B$31+0</x:f>
        <x:v>0.24</x:v>
      </x:c>
      <x:c r="C66" s="87" t="n">
        <x:f>Drivers!$B$31+0.72</x:f>
        <x:v>0.96</x:v>
      </x:c>
      <x:c r="D66" s="87" t="n">
        <x:f>Drivers!$B$31+1.72</x:f>
        <x:v>1.96</x:v>
      </x:c>
      <x:c r="E66" s="87" t="n">
        <x:f>Drivers!$B$31+2.7199999999999998</x:f>
        <x:v>2.96</x:v>
      </x:c>
      <x:c r="F66" s="87" t="n">
        <x:f>Drivers!$B$31+3.7199999999999998</x:f>
        <x:v>3.96</x:v>
      </x:c>
      <x:c r="G66" s="87" t="n">
        <x:f>Drivers!$B$31+4.72</x:f>
        <x:v>4.96</x:v>
      </x:c>
    </x:row>
    <x:row r="67" ht="15" hidden="0" customHeight="1">
      <x:c r="A67" s="10" t="str">
        <x:v>Discount factor</x:v>
      </x:c>
      <x:c r="B67" s="88" t="n">
        <x:f>1/(1+Scenarios!$B$28)^B66</x:f>
        <x:v>0.9774918473707807</x:v>
      </x:c>
      <x:c r="C67" s="88" t="n">
        <x:f>1/(1+Scenarios!$B$28)^C66</x:f>
        <x:v>0.9129617357073526</x:v>
      </x:c>
      <x:c r="D67" s="88" t="n">
        <x:f>1/(1+Scenarios!$B$28)^D66</x:f>
        <x:v>0.8303426427533903</x:v>
      </x:c>
      <x:c r="E67" s="88" t="n">
        <x:f>1/(1+Scenarios!$B$28)^E66</x:f>
        <x:v>0.7552002207852573</x:v>
      </x:c>
      <x:c r="F67" s="88" t="n">
        <x:f>1/(1+Scenarios!$B$28)^F66</x:f>
        <x:v>0.6868578633790426</x:v>
      </x:c>
      <x:c r="G67" s="88" t="n">
        <x:f>1/(1+Scenarios!$B$28)^G66</x:f>
        <x:v>0.6247001940691611</x:v>
      </x:c>
    </x:row>
    <x:row r="68" ht="15" hidden="0" customHeight="1">
      <x:c r="A68" s="10" t="str">
        <x:v>PV of FCFF</x:v>
      </x:c>
      <x:c r="B68" s="80" t="n">
        <x:f>B65*B67</x:f>
        <x:v>150.5159039363688</x:v>
      </x:c>
      <x:c r="C68" s="80" t="n">
        <x:f>C65*C67</x:f>
        <x:v>293.1140662715301</x:v>
      </x:c>
      <x:c r="D68" s="80" t="n">
        <x:f>D65*D67</x:f>
        <x:v>369.75598320282086</x:v>
      </x:c>
      <x:c r="E68" s="80" t="n">
        <x:f>E65*E67</x:f>
        <x:v>422.6681976575834</x:v>
      </x:c>
      <x:c r="F68" s="80" t="n">
        <x:f>F65*F67</x:f>
        <x:v>453.03470908375914</x:v>
      </x:c>
      <x:c r="G68" s="80" t="n">
        <x:f>G65*G67</x:f>
        <x:v>474.19229388979295</x:v>
      </x:c>
    </x:row>
  </x:sheetData>
  <x:mergeCells>
    <x:mergeCell ref="A1:J1"/>
    <x:mergeCell ref="A2:J2"/>
    <x:mergeCell ref="A4:G4"/>
    <x:mergeCell ref="A27:G27"/>
    <x:mergeCell ref="A50:G5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  <x:col min="9" max="9" width="14" hidden="0" customWidth="1"/>
  </x:cols>
  <x:sheetData>
    <x:row r="1" ht="21.600000381469727" hidden="0" customHeight="1">
      <x:c r="A1" s="2" t="str">
        <x:v>Scenario assumptions</x:v>
      </x:c>
      <x:c r="B1" s="2" t="str">
        <x:v>Scenario assumptions</x:v>
      </x:c>
      <x:c r="C1" s="2" t="str">
        <x:v>Scenario assumptions</x:v>
      </x:c>
      <x:c r="D1" s="2" t="str">
        <x:v>Scenario assumptions</x:v>
      </x:c>
      <x:c r="E1" s="2" t="str">
        <x:v>Scenario assumptions</x:v>
      </x:c>
      <x:c r="F1" s="2" t="str">
        <x:v>Scenario assumptions</x:v>
      </x:c>
      <x:c r="G1" s="2" t="str">
        <x:v>Scenario assumptions</x:v>
      </x:c>
      <x:c r="H1" s="2" t="str">
        <x:v>Scenario assumptions</x:v>
      </x:c>
      <x:c r="I1" s="2" t="str">
        <x:v>Scenario assumptions</x:v>
      </x:c>
    </x:row>
    <x:row r="2" ht="15" hidden="0" customHeight="1">
      <x:c r="A2" s="5" t="str">
        <x:v>Three states, no probabilities. Revenue is consolidated because Nvidia retired the prior product-market framework.</x:v>
      </x:c>
      <x:c r="B2" s="5" t="str">
        <x:v>Three states, no probabilities. Revenue is consolidated because Nvidia retired the prior product-market framework.</x:v>
      </x:c>
      <x:c r="C2" s="5" t="str">
        <x:v>Three states, no probabilities. Revenue is consolidated because Nvidia retired the prior product-market framework.</x:v>
      </x:c>
      <x:c r="D2" s="5" t="str">
        <x:v>Three states, no probabilities. Revenue is consolidated because Nvidia retired the prior product-market framework.</x:v>
      </x:c>
      <x:c r="E2" s="5" t="str">
        <x:v>Three states, no probabilities. Revenue is consolidated because Nvidia retired the prior product-market framework.</x:v>
      </x:c>
      <x:c r="F2" s="5" t="str">
        <x:v>Three states, no probabilities. Revenue is consolidated because Nvidia retired the prior product-market framework.</x:v>
      </x:c>
      <x:c r="G2" s="5" t="str">
        <x:v>Three states, no probabilities. Revenue is consolidated because Nvidia retired the prior product-market framework.</x:v>
      </x:c>
      <x:c r="H2" s="5" t="str">
        <x:v>Three states, no probabilities. Revenue is consolidated because Nvidia retired the prior product-market framework.</x:v>
      </x:c>
      <x:c r="I2" s="5" t="str">
        <x:v>Three states, no probabilities. Revenue is consolidated because Nvidia retired the prior product-market framework.</x:v>
      </x:c>
    </x:row>
    <x:row r="3" ht="15" hidden="0" customHeight="1">
      <x:c r="A3" s="26" t="str">
        <x:v>Fiscal year</x:v>
      </x:c>
      <x:c r="B3" s="26" t="n">
        <x:v>2027</x:v>
      </x:c>
      <x:c r="C3" s="26" t="n">
        <x:v>2028</x:v>
      </x:c>
      <x:c r="D3" s="26" t="n">
        <x:v>2029</x:v>
      </x:c>
      <x:c r="E3" s="26" t="n">
        <x:v>2030</x:v>
      </x:c>
      <x:c r="F3" s="26" t="n">
        <x:v>2031</x:v>
      </x:c>
      <x:c r="G3" s="26" t="n">
        <x:v>2032</x:v>
      </x:c>
    </x:row>
    <x:row r="4" ht="15" hidden="0" customHeight="1">
      <x:c r="A4" s="65" t="str">
        <x:v>Bear / digestion</x:v>
      </x:c>
      <x:c r="B4" s="65" t="str">
        <x:v>Bear / digestion</x:v>
      </x:c>
      <x:c r="C4" s="65" t="str">
        <x:v>Bear / digestion</x:v>
      </x:c>
      <x:c r="D4" s="65" t="str">
        <x:v>Bear / digestion</x:v>
      </x:c>
      <x:c r="E4" s="65" t="str">
        <x:v>Bear / digestion</x:v>
      </x:c>
      <x:c r="F4" s="65" t="str">
        <x:v>Bear / digestion</x:v>
      </x:c>
      <x:c r="G4" s="65" t="str">
        <x:v>Bear / digestion</x:v>
      </x:c>
    </x:row>
    <x:row r="5" ht="15" hidden="0" customHeight="1">
      <x:c r="A5" s="10" t="str">
        <x:v>Revenue, $bn</x:v>
      </x:c>
      <x:c r="B5" s="66" t="n">
        <x:v>334.254</x:v>
      </x:c>
      <x:c r="C5" s="66" t="n">
        <x:v>415.81</x:v>
      </x:c>
      <x:c r="D5" s="66" t="n">
        <x:v>446.217</x:v>
      </x:c>
      <x:c r="E5" s="66" t="n">
        <x:v>432.052</x:v>
      </x:c>
      <x:c r="F5" s="66" t="n">
        <x:v>387.474</x:v>
      </x:c>
      <x:c r="G5" s="66" t="n">
        <x:v>334.723</x:v>
      </x:c>
    </x:row>
    <x:row r="6" ht="15" hidden="0" customHeight="1">
      <x:c r="A6" s="10" t="str">
        <x:v>EBITDA margin</x:v>
      </x:c>
      <x:c r="B6" s="67" t="n">
        <x:v>0.59</x:v>
      </x:c>
      <x:c r="C6" s="67" t="n">
        <x:v>0.57</x:v>
      </x:c>
      <x:c r="D6" s="67" t="n">
        <x:v>0.545</x:v>
      </x:c>
      <x:c r="E6" s="67" t="n">
        <x:v>0.52</x:v>
      </x:c>
      <x:c r="F6" s="67" t="n">
        <x:v>0.495</x:v>
      </x:c>
      <x:c r="G6" s="67" t="n">
        <x:v>0.48</x:v>
      </x:c>
    </x:row>
    <x:row r="7" ht="15" hidden="0" customHeight="1">
      <x:c r="A7" s="10" t="str">
        <x:v>Capex / revenue</x:v>
      </x:c>
      <x:c r="B7" s="67" t="n">
        <x:v>0.035</x:v>
      </x:c>
      <x:c r="C7" s="67" t="n">
        <x:v>0.037</x:v>
      </x:c>
      <x:c r="D7" s="67" t="n">
        <x:v>0.039</x:v>
      </x:c>
      <x:c r="E7" s="67" t="n">
        <x:v>0.04</x:v>
      </x:c>
      <x:c r="F7" s="67" t="n">
        <x:v>0.04</x:v>
      </x:c>
      <x:c r="G7" s="67" t="n">
        <x:v>0.04</x:v>
      </x:c>
    </x:row>
    <x:row r="8" ht="15" hidden="0" customHeight="1">
      <x:c r="A8" s="10" t="str">
        <x:v>Tax rate</x:v>
      </x:c>
      <x:c r="B8" s="67" t="n">
        <x:v>0.16</x:v>
      </x:c>
      <x:c r="C8" s="67" t="n">
        <x:v>0.17</x:v>
      </x:c>
      <x:c r="D8" s="67" t="n">
        <x:v>0.17</x:v>
      </x:c>
      <x:c r="E8" s="67" t="n">
        <x:v>0.175</x:v>
      </x:c>
      <x:c r="F8" s="67" t="n">
        <x:v>0.175</x:v>
      </x:c>
      <x:c r="G8" s="67" t="n">
        <x:v>0.175</x:v>
      </x:c>
    </x:row>
    <x:row r="9" ht="15" hidden="0" customHeight="1">
      <x:c r="A9" s="10" t="str">
        <x:v>NWC / revenue</x:v>
      </x:c>
      <x:c r="B9" s="67" t="n">
        <x:v>0.115</x:v>
      </x:c>
      <x:c r="C9" s="67" t="n">
        <x:v>0.11</x:v>
      </x:c>
      <x:c r="D9" s="67" t="n">
        <x:v>0.105</x:v>
      </x:c>
      <x:c r="E9" s="67" t="n">
        <x:v>0.1</x:v>
      </x:c>
      <x:c r="F9" s="67" t="n">
        <x:v>0.095</x:v>
      </x:c>
      <x:c r="G9" s="67" t="n">
        <x:v>0.09</x:v>
      </x:c>
    </x:row>
    <x:row r="10"/>
    <x:row r="11" ht="15" hidden="0" customHeight="1">
      <x:c r="A11" s="68" t="str">
        <x:v>Base / fade</x:v>
      </x:c>
      <x:c r="B11" s="68" t="str">
        <x:v>Base / fade</x:v>
      </x:c>
      <x:c r="C11" s="68" t="str">
        <x:v>Base / fade</x:v>
      </x:c>
      <x:c r="D11" s="68" t="str">
        <x:v>Base / fade</x:v>
      </x:c>
      <x:c r="E11" s="68" t="str">
        <x:v>Base / fade</x:v>
      </x:c>
      <x:c r="F11" s="68" t="str">
        <x:v>Base / fade</x:v>
      </x:c>
      <x:c r="G11" s="68" t="str">
        <x:v>Base / fade</x:v>
      </x:c>
    </x:row>
    <x:row r="12" ht="15" hidden="0" customHeight="1">
      <x:c r="A12" s="10" t="str">
        <x:v>Revenue, $bn</x:v>
      </x:c>
      <x:c r="B12" s="66" t="n">
        <x:v>380.878</x:v>
      </x:c>
      <x:c r="C12" s="66" t="n">
        <x:v>551.877</x:v>
      </x:c>
      <x:c r="D12" s="66" t="n">
        <x:v>698.959</x:v>
      </x:c>
      <x:c r="E12" s="66" t="n">
        <x:v>805.464</x:v>
      </x:c>
      <x:c r="F12" s="66" t="n">
        <x:v>862.585</x:v>
      </x:c>
      <x:c r="G12" s="66" t="n">
        <x:v>889.459</x:v>
      </x:c>
    </x:row>
    <x:row r="13" ht="15" hidden="0" customHeight="1">
      <x:c r="A13" s="10" t="str">
        <x:v>EBITDA margin</x:v>
      </x:c>
      <x:c r="B13" s="67" t="n">
        <x:v>0.645</x:v>
      </x:c>
      <x:c r="C13" s="67" t="n">
        <x:v>0.625</x:v>
      </x:c>
      <x:c r="D13" s="67" t="n">
        <x:v>0.6</x:v>
      </x:c>
      <x:c r="E13" s="67" t="n">
        <x:v>0.575</x:v>
      </x:c>
      <x:c r="F13" s="67" t="n">
        <x:v>0.55</x:v>
      </x:c>
      <x:c r="G13" s="67" t="n">
        <x:v>0.535</x:v>
      </x:c>
    </x:row>
    <x:row r="14" ht="15" hidden="0" customHeight="1">
      <x:c r="A14" s="10" t="str">
        <x:v>Capex / revenue</x:v>
      </x:c>
      <x:c r="B14" s="67" t="n">
        <x:v>0.03</x:v>
      </x:c>
      <x:c r="C14" s="67" t="n">
        <x:v>0.032</x:v>
      </x:c>
      <x:c r="D14" s="67" t="n">
        <x:v>0.034</x:v>
      </x:c>
      <x:c r="E14" s="67" t="n">
        <x:v>0.035</x:v>
      </x:c>
      <x:c r="F14" s="67" t="n">
        <x:v>0.035</x:v>
      </x:c>
      <x:c r="G14" s="67" t="n">
        <x:v>0.035</x:v>
      </x:c>
    </x:row>
    <x:row r="15" ht="15" hidden="0" customHeight="1">
      <x:c r="A15" s="10" t="str">
        <x:v>Tax rate</x:v>
      </x:c>
      <x:c r="B15" s="67" t="n">
        <x:v>0.16</x:v>
      </x:c>
      <x:c r="C15" s="67" t="n">
        <x:v>0.17</x:v>
      </x:c>
      <x:c r="D15" s="67" t="n">
        <x:v>0.17</x:v>
      </x:c>
      <x:c r="E15" s="67" t="n">
        <x:v>0.175</x:v>
      </x:c>
      <x:c r="F15" s="67" t="n">
        <x:v>0.175</x:v>
      </x:c>
      <x:c r="G15" s="67" t="n">
        <x:v>0.175</x:v>
      </x:c>
    </x:row>
    <x:row r="16" ht="15" hidden="0" customHeight="1">
      <x:c r="A16" s="10" t="str">
        <x:v>NWC / revenue</x:v>
      </x:c>
      <x:c r="B16" s="67" t="n">
        <x:v>0.115</x:v>
      </x:c>
      <x:c r="C16" s="67" t="n">
        <x:v>0.11</x:v>
      </x:c>
      <x:c r="D16" s="67" t="n">
        <x:v>0.105</x:v>
      </x:c>
      <x:c r="E16" s="67" t="n">
        <x:v>0.1</x:v>
      </x:c>
      <x:c r="F16" s="67" t="n">
        <x:v>0.095</x:v>
      </x:c>
      <x:c r="G16" s="67" t="n">
        <x:v>0.09</x:v>
      </x:c>
    </x:row>
    <x:row r="17"/>
    <x:row r="18" ht="15" hidden="0" customHeight="1">
      <x:c r="A18" s="65" t="str">
        <x:v>Bull / platform</x:v>
      </x:c>
      <x:c r="B18" s="65" t="str">
        <x:v>Bull / platform</x:v>
      </x:c>
      <x:c r="C18" s="65" t="str">
        <x:v>Bull / platform</x:v>
      </x:c>
      <x:c r="D18" s="65" t="str">
        <x:v>Bull / platform</x:v>
      </x:c>
      <x:c r="E18" s="65" t="str">
        <x:v>Bull / platform</x:v>
      </x:c>
      <x:c r="F18" s="65" t="str">
        <x:v>Bull / platform</x:v>
      </x:c>
      <x:c r="G18" s="65" t="str">
        <x:v>Bull / platform</x:v>
      </x:c>
    </x:row>
    <x:row r="19" ht="15" hidden="0" customHeight="1">
      <x:c r="A19" s="10" t="str">
        <x:v>Revenue, $bn</x:v>
      </x:c>
      <x:c r="B19" s="66" t="n">
        <x:v>417.307</x:v>
      </x:c>
      <x:c r="C19" s="66" t="n">
        <x:v>672.504</x:v>
      </x:c>
      <x:c r="D19" s="66" t="n">
        <x:v>956.101</x:v>
      </x:c>
      <x:c r="E19" s="66" t="n">
        <x:v>1245.059</x:v>
      </x:c>
      <x:c r="F19" s="66" t="n">
        <x:v>1513.25</x:v>
      </x:c>
      <x:c r="G19" s="66" t="n">
        <x:v>1775.787</x:v>
      </x:c>
    </x:row>
    <x:row r="20" ht="15" hidden="0" customHeight="1">
      <x:c r="A20" s="10" t="str">
        <x:v>EBITDA margin</x:v>
      </x:c>
      <x:c r="B20" s="67" t="n">
        <x:v>0.675</x:v>
      </x:c>
      <x:c r="C20" s="67" t="n">
        <x:v>0.655</x:v>
      </x:c>
      <x:c r="D20" s="67" t="n">
        <x:v>0.63</x:v>
      </x:c>
      <x:c r="E20" s="67" t="n">
        <x:v>0.605</x:v>
      </x:c>
      <x:c r="F20" s="67" t="n">
        <x:v>0.58</x:v>
      </x:c>
      <x:c r="G20" s="67" t="n">
        <x:v>0.565</x:v>
      </x:c>
    </x:row>
    <x:row r="21" ht="15" hidden="0" customHeight="1">
      <x:c r="A21" s="10" t="str">
        <x:v>Capex / revenue</x:v>
      </x:c>
      <x:c r="B21" s="67" t="n">
        <x:v>0.027</x:v>
      </x:c>
      <x:c r="C21" s="67" t="n">
        <x:v>0.029</x:v>
      </x:c>
      <x:c r="D21" s="67" t="n">
        <x:v>0.031</x:v>
      </x:c>
      <x:c r="E21" s="67" t="n">
        <x:v>0.032</x:v>
      </x:c>
      <x:c r="F21" s="67" t="n">
        <x:v>0.032</x:v>
      </x:c>
      <x:c r="G21" s="67" t="n">
        <x:v>0.032</x:v>
      </x:c>
    </x:row>
    <x:row r="22" ht="15" hidden="0" customHeight="1">
      <x:c r="A22" s="10" t="str">
        <x:v>Tax rate</x:v>
      </x:c>
      <x:c r="B22" s="67" t="n">
        <x:v>0.16</x:v>
      </x:c>
      <x:c r="C22" s="67" t="n">
        <x:v>0.17</x:v>
      </x:c>
      <x:c r="D22" s="67" t="n">
        <x:v>0.17</x:v>
      </x:c>
      <x:c r="E22" s="67" t="n">
        <x:v>0.175</x:v>
      </x:c>
      <x:c r="F22" s="67" t="n">
        <x:v>0.175</x:v>
      </x:c>
      <x:c r="G22" s="67" t="n">
        <x:v>0.175</x:v>
      </x:c>
    </x:row>
    <x:row r="23" ht="15" hidden="0" customHeight="1">
      <x:c r="A23" s="10" t="str">
        <x:v>NWC / revenue</x:v>
      </x:c>
      <x:c r="B23" s="67" t="n">
        <x:v>0.115</x:v>
      </x:c>
      <x:c r="C23" s="67" t="n">
        <x:v>0.11</x:v>
      </x:c>
      <x:c r="D23" s="67" t="n">
        <x:v>0.105</x:v>
      </x:c>
      <x:c r="E23" s="67" t="n">
        <x:v>0.1</x:v>
      </x:c>
      <x:c r="F23" s="67" t="n">
        <x:v>0.095</x:v>
      </x:c>
      <x:c r="G23" s="67" t="n">
        <x:v>0.09</x:v>
      </x:c>
    </x:row>
    <x:row r="24"/>
    <x:row r="25" ht="15" hidden="0" customHeight="1">
      <x:c r="A25" s="26" t="str">
        <x:v>State</x:v>
      </x:c>
      <x:c r="B25" s="26" t="str">
        <x:v>WACC</x:v>
      </x:c>
      <x:c r="C25" s="26" t="str">
        <x:v>g</x:v>
      </x:c>
      <x:c r="D25" s="26" t="str">
        <x:v>Terminal ROIC</x:v>
      </x:c>
      <x:c r="E25" s="26" t="str">
        <x:v>Public equity credit</x:v>
      </x:c>
      <x:c r="F25" s="26" t="str">
        <x:v>Private equity credit</x:v>
      </x:c>
      <x:c r="G25" s="26" t="str">
        <x:v>Equity-method credit</x:v>
      </x:c>
      <x:c r="H25" s="26" t="str">
        <x:v>DCF / share</x:v>
      </x:c>
      <x:c r="I25" s="26" t="str">
        <x:v>Vs spot</x:v>
      </x:c>
    </x:row>
    <x:row r="26" ht="15" hidden="0" customHeight="1">
      <x:c r="A26" s="10" t="str">
        <x:v>Bear</x:v>
      </x:c>
      <x:c r="B26" s="71" t="n">
        <x:f>WACC!B15+1.25%</x:f>
        <x:v>0.1195</x:v>
      </x:c>
      <x:c r="C26" s="67" t="n">
        <x:v>0.02</x:v>
      </x:c>
      <x:c r="D26" s="67" t="n">
        <x:v>0.25</x:v>
      </x:c>
      <x:c r="E26" s="67" t="n">
        <x:v>0.75</x:v>
      </x:c>
      <x:c r="F26" s="67" t="n">
        <x:v>0.35</x:v>
      </x:c>
      <x:c r="G26" s="67" t="n">
        <x:v>0.35</x:v>
      </x:c>
      <x:c r="H26" s="11" t="n">
        <x:f>Valuation!J18</x:f>
        <x:v>57.21970990409426</x:v>
      </x:c>
      <x:c r="I26" s="71" t="n">
        <x:f>H26/Drivers!B5-1</x:f>
        <x:v>-0.7444407775609904</x:v>
      </x:c>
    </x:row>
    <x:row r="27" ht="15" hidden="0" customHeight="1">
      <x:c r="A27" s="10" t="str">
        <x:v>Base</x:v>
      </x:c>
      <x:c r="B27" s="71" t="n">
        <x:f>WACC!B15</x:f>
        <x:v>0.107</x:v>
      </x:c>
      <x:c r="C27" s="67" t="n">
        <x:v>0.03</x:v>
      </x:c>
      <x:c r="D27" s="67" t="n">
        <x:v>0.3</x:v>
      </x:c>
      <x:c r="E27" s="67" t="n">
        <x:v>0.85</x:v>
      </x:c>
      <x:c r="F27" s="67" t="n">
        <x:v>0.5</x:v>
      </x:c>
      <x:c r="G27" s="67" t="n">
        <x:v>0.5</x:v>
      </x:c>
      <x:c r="H27" s="11" t="n">
        <x:f>Valuation!J41</x:f>
        <x:v>165.39724902118806</x:v>
      </x:c>
      <x:c r="I27" s="71" t="n">
        <x:f>H27/Drivers!B5-1</x:f>
        <x:v>-0.26128964260300114</x:v>
      </x:c>
    </x:row>
    <x:row r="28" ht="15" hidden="0" customHeight="1">
      <x:c r="A28" s="10" t="str">
        <x:v>Bull</x:v>
      </x:c>
      <x:c r="B28" s="71" t="n">
        <x:f>WACC!B15-0.75%</x:f>
        <x:v>0.0995</x:v>
      </x:c>
      <x:c r="C28" s="67" t="n">
        <x:v>0.035</x:v>
      </x:c>
      <x:c r="D28" s="67" t="n">
        <x:v>0.35</x:v>
      </x:c>
      <x:c r="E28" s="67" t="n">
        <x:v>1</x:v>
      </x:c>
      <x:c r="F28" s="67" t="n">
        <x:v>0.75</x:v>
      </x:c>
      <x:c r="G28" s="67" t="n">
        <x:v>0.75</x:v>
      </x:c>
      <x:c r="H28" s="11" t="n">
        <x:f>Valuation!J64</x:f>
        <x:v>377.6780066260527</x:v>
      </x:c>
      <x:c r="I28" s="71" t="n">
        <x:f>H28/Drivers!B5-1</x:f>
        <x:v>0.6868155722467739</x:v>
      </x:c>
    </x:row>
    <x:row r="29"/>
    <x:row r="30"/>
    <x:row r="31" ht="15" hidden="0" customHeight="1">
      <x:c r="A31" s="65" t="str">
        <x:v>Decision use</x:v>
      </x:c>
      <x:c r="B31" s="65" t="str">
        <x:v>Decision use</x:v>
      </x:c>
      <x:c r="C31" s="65" t="str">
        <x:v>Decision use</x:v>
      </x:c>
      <x:c r="D31" s="65" t="str">
        <x:v>Decision use</x:v>
      </x:c>
      <x:c r="E31" s="65" t="str">
        <x:v>Decision use</x:v>
      </x:c>
      <x:c r="F31" s="65" t="str">
        <x:v>Decision use</x:v>
      </x:c>
      <x:c r="G31" s="65" t="str">
        <x:v>Decision use</x:v>
      </x:c>
      <x:c r="H31" s="65" t="str">
        <x:v>Decision use</x:v>
      </x:c>
      <x:c r="I31" s="65" t="str">
        <x:v>Decision use</x:v>
      </x:c>
    </x:row>
    <x:row r="32">
      <x:c r="A32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B32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C32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D32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E32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F32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G32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H32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I32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</x:row>
    <x:row r="33">
      <x:c r="A33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B33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C33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D33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E33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F33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G33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H33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I33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</x:row>
    <x:row r="34">
      <x:c r="A34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B34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C34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D34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E34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F34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G34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H34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I34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</x:row>
    <x:row r="35">
      <x:c r="A35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B35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C35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D35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E35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F35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G35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H35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  <x:c r="I35" s="95" t="str">
        <x:v>These are state-contingent risk frames, not a probability distribution. The workbook does not calculate expected value or Kelly sizing. A non-zero position requires an observable variant, a live market/implementation ledger and at least 20% net underwritten return.</x:v>
      </x:c>
    </x:row>
  </x:sheetData>
  <x:mergeCells>
    <x:mergeCell ref="A1:I1"/>
    <x:mergeCell ref="A2:I2"/>
    <x:mergeCell ref="A4:G4"/>
    <x:mergeCell ref="A11:G11"/>
    <x:mergeCell ref="A18:G18"/>
    <x:mergeCell ref="A31:I31"/>
    <x:mergeCell ref="A32:I3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58" hidden="0" customWidth="1"/>
  </x:cols>
  <x:sheetData>
    <x:row r="1" ht="21.600000381469727" hidden="0" customHeight="1">
      <x:c r="A1" s="2" t="str">
        <x:v>Reverse DCF</x:v>
      </x:c>
      <x:c r="B1" s="2" t="str">
        <x:v>Reverse DCF</x:v>
      </x:c>
      <x:c r="C1" s="2" t="str">
        <x:v>Reverse DCF</x:v>
      </x:c>
      <x:c r="D1" s="2" t="str">
        <x:v>Reverse DCF</x:v>
      </x:c>
    </x:row>
    <x:row r="2" ht="15" hidden="0" customHeight="1">
      <x:c r="A2" s="5" t="str">
        <x:v>Two non-equivalent diagnostics: the WACC that closes the gap on the base operating path, or a uniform revenue scale at the explicit CAPM rate.</x:v>
      </x:c>
      <x:c r="B2" s="5" t="str">
        <x:v>Two non-equivalent diagnostics: the WACC that closes the gap on the base operating path, or a uniform revenue scale at the explicit CAPM rate.</x:v>
      </x:c>
      <x:c r="C2" s="5" t="str">
        <x:v>Two non-equivalent diagnostics: the WACC that closes the gap on the base operating path, or a uniform revenue scale at the explicit CAPM rate.</x:v>
      </x:c>
      <x:c r="D2" s="5" t="str">
        <x:v>Two non-equivalent diagnostics: the WACC that closes the gap on the base operating path, or a uniform revenue scale at the explicit CAPM rate.</x:v>
      </x:c>
    </x:row>
    <x:row r="3"/>
    <x:row r="4" ht="15" hidden="0" customHeight="1">
      <x:c r="A4" s="26" t="str">
        <x:v>Diagnostic</x:v>
      </x:c>
      <x:c r="B4" s="26" t="str">
        <x:v>Value</x:v>
      </x:c>
      <x:c r="C4" s="26" t="str">
        <x:v>Control</x:v>
      </x:c>
      <x:c r="D4" s="26" t="str">
        <x:v>Interpretation</x:v>
      </x:c>
    </x:row>
    <x:row r="5" ht="15" hidden="0" customHeight="1">
      <x:c r="A5" s="22" t="str">
        <x:v>Spot</x:v>
      </x:c>
      <x:c r="B5" s="106" t="n">
        <x:f>Drivers!B5</x:f>
        <x:v>223.9</x:v>
      </x:c>
      <x:c r="C5" s="22" t="str">
        <x:v>S5</x:v>
      </x:c>
      <x:c r="D5" s="22" t="str">
        <x:v>Frozen reference</x:v>
      </x:c>
    </x:row>
    <x:row r="6" ht="15" hidden="0" customHeight="1">
      <x:c r="A6" s="22" t="str">
        <x:v>Spot-implied WACC</x:v>
      </x:c>
      <x:c r="B6" s="107" t="n">
        <x:v>0.0862189446232719</x:v>
      </x:c>
      <x:c r="C6" s="22" t="str">
        <x:v>Python bisection</x:v>
      </x:c>
      <x:c r="D6" s="22" t="str">
        <x:v>Holds base operations, g, ROIC and bridge constant</x:v>
      </x:c>
    </x:row>
    <x:row r="7" ht="15" hidden="0" customHeight="1">
      <x:c r="A7" s="22" t="str">
        <x:v>Model value at implied WACC</x:v>
      </x:c>
      <x:c r="B7" s="108" t="n">
        <x:f>(Valuation!B42/(1+$B$6)^Valuation!B43+Valuation!C42/(1+$B$6)^Valuation!C43+Valuation!D42/(1+$B$6)^Valuation!D43+Valuation!E42/(1+$B$6)^Valuation!E43+Valuation!F42/(1+$B$6)^Valuation!F43+Valuation!G42/(1+$B$6)^Valuation!G43+Valuation!G36*(1-Scenarios!$C$27/Scenarios!$D$27)*(1+Scenarios!$C$27)/($B$6-Scenarios!$C$27)/(1+$B$6)^Drivers!$B$32+'Equity Bridge'!$C$15)/Drivers!$B$6</x:f>
        <x:v>223.90000000000003</x:v>
      </x:c>
      <x:c r="C7" s="22" t="str">
        <x:v>Formula</x:v>
      </x:c>
      <x:c r="D7" s="22" t="str">
        <x:v>Should equal spot</x:v>
      </x:c>
    </x:row>
    <x:row r="8" ht="15" hidden="0" customHeight="1">
      <x:c r="A8" s="22" t="str">
        <x:v>Residual</x:v>
      </x:c>
      <x:c r="B8" s="108" t="n">
        <x:f>B7-B5</x:f>
        <x:v>2.842170943040401e-14</x:v>
      </x:c>
      <x:c r="C8" s="22" t="str">
        <x:v>Formula</x:v>
      </x:c>
      <x:c r="D8" s="22" t="str">
        <x:v>Should be approximately zero</x:v>
      </x:c>
    </x:row>
    <x:row r="9" ht="15" hidden="0" customHeight="1">
      <x:c r="A9" s="22" t="str">
        <x:v>Base WACC</x:v>
      </x:c>
      <x:c r="B9" s="109" t="n">
        <x:f>Scenarios!B27</x:f>
        <x:v>0.107</x:v>
      </x:c>
      <x:c r="C9" s="22" t="str">
        <x:v>WACC build</x:v>
      </x:c>
      <x:c r="D9" s="22" t="str">
        <x:v>Rounded CAPM output</x:v>
      </x:c>
    </x:row>
    <x:row r="10" ht="15" hidden="0" customHeight="1">
      <x:c r="A10" s="22" t="str">
        <x:v>WACC gap</x:v>
      </x:c>
      <x:c r="B10" s="109" t="n">
        <x:f>B9-B6</x:f>
        <x:v>0.0207810553767281</x:v>
      </x:c>
      <x:c r="C10" s="22" t="str">
        <x:v>Formula</x:v>
      </x:c>
      <x:c r="D10" s="22" t="str">
        <x:v>Base less implied</x:v>
      </x:c>
    </x:row>
    <x:row r="11" ht="15" hidden="0" customHeight="1">
      <x:c r="A11" s="22" t="str"/>
      <x:c r="B11" s="22"/>
      <x:c r="C11" s="22" t="str"/>
      <x:c r="D11" s="22" t="str"/>
    </x:row>
    <x:row r="12" ht="15" hidden="0" customHeight="1">
      <x:c r="A12" s="22" t="str">
        <x:v>Spot-implied revenue scale</x:v>
      </x:c>
      <x:c r="B12" s="110" t="n">
        <x:v>1.3597046602502427</x:v>
      </x:c>
      <x:c r="C12" s="22" t="str">
        <x:v>Python bisection</x:v>
      </x:c>
      <x:c r="D12" s="22" t="str">
        <x:v>Uniform scale; intentionally blunt</x:v>
      </x:c>
    </x:row>
    <x:row r="13" ht="15" hidden="0" customHeight="1">
      <x:c r="A13" s="22" t="str">
        <x:v>Implied FY2027 revenue, $bn</x:v>
      </x:c>
      <x:c r="B13" s="46" t="n">
        <x:v>517.881591586792</x:v>
      </x:c>
      <x:c r="C13" s="22" t="str">
        <x:v>Solver output</x:v>
      </x:c>
      <x:c r="D13" s="22" t="str">
        <x:v>Not a company guide</x:v>
      </x:c>
    </x:row>
    <x:row r="14" ht="15" hidden="0" customHeight="1">
      <x:c r="A14" s="22" t="str">
        <x:v>Implied FY2032 revenue, $bn</x:v>
      </x:c>
      <x:c r="B14" s="46" t="n">
        <x:v>1209.4015474015205</x:v>
      </x:c>
      <x:c r="C14" s="22" t="str">
        <x:v>Solver output</x:v>
      </x:c>
      <x:c r="D14" s="22" t="str">
        <x:v>At base margins and capital intensity</x:v>
      </x:c>
    </x:row>
    <x:row r="15" ht="15" hidden="0" customHeight="1">
      <x:c r="A15" s="22" t="str">
        <x:v>Implied revenue CAGR</x:v>
      </x:c>
      <x:c r="B15" s="48" t="n">
        <x:v>0.33498351979242424</x:v>
      </x:c>
      <x:c r="C15" s="22" t="str">
        <x:v>Solver output</x:v>
      </x:c>
      <x:c r="D15" s="22" t="str">
        <x:v>FY2026 to FY2032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2" hidden="0" customWidth="1"/>
  </x:cols>
  <x:sheetData>
    <x:row r="1" ht="21.600000381469727" hidden="0" customHeight="1">
      <x:c r="A1" s="2" t="str">
        <x:v>Base DCF sensitivity</x:v>
      </x:c>
      <x:c r="B1" s="2" t="str">
        <x:v>Base DCF sensitivity</x:v>
      </x:c>
      <x:c r="C1" s="2" t="str">
        <x:v>Base DCF sensitivity</x:v>
      </x:c>
      <x:c r="D1" s="2" t="str">
        <x:v>Base DCF sensitivity</x:v>
      </x:c>
      <x:c r="E1" s="2" t="str">
        <x:v>Base DCF sensitivity</x:v>
      </x:c>
      <x:c r="F1" s="2" t="str">
        <x:v>Base DCF sensitivity</x:v>
      </x:c>
      <x:c r="G1" s="2" t="str">
        <x:v>Base DCF sensitivity</x:v>
      </x:c>
    </x:row>
    <x:row r="2" ht="15" hidden="0" customHeight="1">
      <x:c r="A2" s="5" t="str">
        <x:v>Value per share across WACC and terminal growth. Operating forecast, terminal ROIC and base bridge are held constant.</x:v>
      </x:c>
      <x:c r="B2" s="5" t="str">
        <x:v>Value per share across WACC and terminal growth. Operating forecast, terminal ROIC and base bridge are held constant.</x:v>
      </x:c>
      <x:c r="C2" s="5" t="str">
        <x:v>Value per share across WACC and terminal growth. Operating forecast, terminal ROIC and base bridge are held constant.</x:v>
      </x:c>
      <x:c r="D2" s="5" t="str">
        <x:v>Value per share across WACC and terminal growth. Operating forecast, terminal ROIC and base bridge are held constant.</x:v>
      </x:c>
      <x:c r="E2" s="5" t="str">
        <x:v>Value per share across WACC and terminal growth. Operating forecast, terminal ROIC and base bridge are held constant.</x:v>
      </x:c>
      <x:c r="F2" s="5" t="str">
        <x:v>Value per share across WACC and terminal growth. Operating forecast, terminal ROIC and base bridge are held constant.</x:v>
      </x:c>
      <x:c r="G2" s="5" t="str">
        <x:v>Value per share across WACC and terminal growth. Operating forecast, terminal ROIC and base bridge are held constant.</x:v>
      </x:c>
    </x:row>
    <x:row r="3"/>
    <x:row r="4" ht="15" hidden="0" customHeight="1">
      <x:c r="A4" s="65" t="str">
        <x:v>Terminal growth →</x:v>
      </x:c>
      <x:c r="B4" s="65" t="str">
        <x:v>Terminal growth →</x:v>
      </x:c>
      <x:c r="C4" s="65" t="str">
        <x:v>Terminal growth →</x:v>
      </x:c>
      <x:c r="D4" s="65" t="str">
        <x:v>Terminal growth →</x:v>
      </x:c>
      <x:c r="E4" s="65" t="str">
        <x:v>Terminal growth →</x:v>
      </x:c>
      <x:c r="F4" s="65" t="str">
        <x:v>Terminal growth →</x:v>
      </x:c>
    </x:row>
    <x:row r="5" ht="15" hidden="0" customHeight="1">
      <x:c r="A5" s="26" t="str">
        <x:v>WACC ↓</x:v>
      </x:c>
      <x:c r="B5" s="111" t="n">
        <x:v>0.02</x:v>
      </x:c>
      <x:c r="C5" s="111" t="n">
        <x:v>0.025</x:v>
      </x:c>
      <x:c r="D5" s="111" t="n">
        <x:v>0.03</x:v>
      </x:c>
      <x:c r="E5" s="111" t="n">
        <x:v>0.035</x:v>
      </x:c>
      <x:c r="F5" s="111" t="n">
        <x:v>0.04</x:v>
      </x:c>
    </x:row>
    <x:row r="6" ht="15" hidden="0" customHeight="1">
      <x:c r="A6" s="71" t="n">
        <x:v>0.08</x:v>
      </x:c>
      <x:c r="B6" s="11" t="n">
        <x:f>(Valuation!B42/(1+$A6)^Valuation!B43+Valuation!C42/(1+$A6)^Valuation!C43+Valuation!D42/(1+$A6)^Valuation!D43+Valuation!E42/(1+$A6)^Valuation!E43+Valuation!F42/(1+$A6)^Valuation!F43+Valuation!G42/(1+$A6)^Valuation!G43+Valuation!G36*(1-B$5/Scenarios!$D$27)*(1+B$5)/($A6-B$5)/(1+$A6)^Drivers!$B$32+'Equity Bridge'!$C$15)/Drivers!$B$6</x:f>
        <x:v>223.66229031185657</x:v>
      </x:c>
      <x:c r="C6" s="11" t="n">
        <x:f>(Valuation!B42/(1+$A6)^Valuation!B43+Valuation!C42/(1+$A6)^Valuation!C43+Valuation!D42/(1+$A6)^Valuation!D43+Valuation!E42/(1+$A6)^Valuation!E43+Valuation!F42/(1+$A6)^Valuation!F43+Valuation!G42/(1+$A6)^Valuation!G43+Valuation!G36*(1-C$5/Scenarios!$D$27)*(1+C$5)/($A6-C$5)/(1+$A6)^Drivers!$B$32+'Equity Bridge'!$C$15)/Drivers!$B$6</x:f>
        <x:v>236.05556591786248</x:v>
      </x:c>
      <x:c r="D6" s="11" t="n">
        <x:f>(Valuation!B42/(1+$A6)^Valuation!B43+Valuation!C42/(1+$A6)^Valuation!C43+Valuation!D42/(1+$A6)^Valuation!D43+Valuation!E42/(1+$A6)^Valuation!E43+Valuation!F42/(1+$A6)^Valuation!F43+Valuation!G42/(1+$A6)^Valuation!G43+Valuation!G36*(1-D$5/Scenarios!$D$27)*(1+D$5)/($A6-D$5)/(1+$A6)^Drivers!$B$32+'Equity Bridge'!$C$15)/Drivers!$B$6</x:f>
        <x:v>250.8935424653271</x:v>
      </x:c>
      <x:c r="E6" s="11" t="n">
        <x:f>(Valuation!B42/(1+$A6)^Valuation!B43+Valuation!C42/(1+$A6)^Valuation!C43+Valuation!D42/(1+$A6)^Valuation!D43+Valuation!E42/(1+$A6)^Valuation!E43+Valuation!F42/(1+$A6)^Valuation!F43+Valuation!G42/(1+$A6)^Valuation!G43+Valuation!G36*(1-E$5/Scenarios!$D$27)*(1+E$5)/($A6-E$5)/(1+$A6)^Drivers!$B$32+'Equity Bridge'!$C$15)/Drivers!$B$6</x:f>
        <x:v>268.99112026806995</x:v>
      </x:c>
      <x:c r="F6" s="11" t="n">
        <x:f>(Valuation!B42/(1+$A6)^Valuation!B43+Valuation!C42/(1+$A6)^Valuation!C43+Valuation!D42/(1+$A6)^Valuation!D43+Valuation!E42/(1+$A6)^Valuation!E43+Valuation!F42/(1+$A6)^Valuation!F43+Valuation!G42/(1+$A6)^Valuation!G43+Valuation!G36*(1-F$5/Scenarios!$D$27)*(1+F$5)/($A6-F$5)/(1+$A6)^Drivers!$B$32+'Equity Bridge'!$C$15)/Drivers!$B$6</x:f>
        <x:v>291.57064979682053</x:v>
      </x:c>
    </x:row>
    <x:row r="7" ht="15" hidden="0" customHeight="1">
      <x:c r="A7" s="71" t="n">
        <x:v>0.09</x:v>
      </x:c>
      <x:c r="B7" s="11" t="n">
        <x:f>(Valuation!B42/(1+$A7)^Valuation!B43+Valuation!C42/(1+$A7)^Valuation!C43+Valuation!D42/(1+$A7)^Valuation!D43+Valuation!E42/(1+$A7)^Valuation!E43+Valuation!F42/(1+$A7)^Valuation!F43+Valuation!G42/(1+$A7)^Valuation!G43+Valuation!G36*(1-B$5/Scenarios!$D$27)*(1+B$5)/($A7-B$5)/(1+$A7)^Drivers!$B$32+'Equity Bridge'!$C$15)/Drivers!$B$6</x:f>
        <x:v>192.31183863137466</x:v>
      </x:c>
      <x:c r="C7" s="11" t="n">
        <x:f>(Valuation!B42/(1+$A7)^Valuation!B43+Valuation!C42/(1+$A7)^Valuation!C43+Valuation!D42/(1+$A7)^Valuation!D43+Valuation!E42/(1+$A7)^Valuation!E43+Valuation!F42/(1+$A7)^Valuation!F43+Valuation!G42/(1+$A7)^Valuation!G43+Valuation!G36*(1-C$5/Scenarios!$D$27)*(1+C$5)/($A7-C$5)/(1+$A7)^Drivers!$B$32+'Equity Bridge'!$C$15)/Drivers!$B$6</x:f>
        <x:v>200.5941342579931</x:v>
      </x:c>
      <x:c r="D7" s="11" t="n">
        <x:f>(Valuation!B42/(1+$A7)^Valuation!B43+Valuation!C42/(1+$A7)^Valuation!C43+Valuation!D42/(1+$A7)^Valuation!D43+Valuation!E42/(1+$A7)^Valuation!E43+Valuation!F42/(1+$A7)^Valuation!F43+Valuation!G42/(1+$A7)^Valuation!G43+Valuation!G36*(1-D$5/Scenarios!$D$27)*(1+D$5)/($A7-D$5)/(1+$A7)^Drivers!$B$32+'Equity Bridge'!$C$15)/Drivers!$B$6</x:f>
        <x:v>210.2299084802659</x:v>
      </x:c>
      <x:c r="E7" s="11" t="n">
        <x:f>(Valuation!B42/(1+$A7)^Valuation!B43+Valuation!C42/(1+$A7)^Valuation!C43+Valuation!D42/(1+$A7)^Valuation!D43+Valuation!E42/(1+$A7)^Valuation!E43+Valuation!F42/(1+$A7)^Valuation!F43+Valuation!G42/(1+$A7)^Valuation!G43+Valuation!G36*(1-E$5/Scenarios!$D$27)*(1+E$5)/($A7-E$5)/(1+$A7)^Drivers!$B$32+'Equity Bridge'!$C$15)/Drivers!$B$6</x:f>
        <x:v>221.58829182428047</x:v>
      </x:c>
      <x:c r="F7" s="11" t="n">
        <x:f>(Valuation!B42/(1+$A7)^Valuation!B43+Valuation!C42/(1+$A7)^Valuation!C43+Valuation!D42/(1+$A7)^Valuation!D43+Valuation!E42/(1+$A7)^Valuation!E43+Valuation!F42/(1+$A7)^Valuation!F43+Valuation!G42/(1+$A7)^Valuation!G43+Valuation!G36*(1-F$5/Scenarios!$D$27)*(1+F$5)/($A7-F$5)/(1+$A7)^Drivers!$B$32+'Equity Bridge'!$C$15)/Drivers!$B$6</x:f>
        <x:v>235.18606702655944</x:v>
      </x:c>
    </x:row>
    <x:row r="8" ht="15" hidden="0" customHeight="1">
      <x:c r="A8" s="71" t="n">
        <x:v>0.1</x:v>
      </x:c>
      <x:c r="B8" s="11" t="n">
        <x:f>(Valuation!B42/(1+$A8)^Valuation!B43+Valuation!C42/(1+$A8)^Valuation!C43+Valuation!D42/(1+$A8)^Valuation!D43+Valuation!E42/(1+$A8)^Valuation!E43+Valuation!F42/(1+$A8)^Valuation!F43+Valuation!G42/(1+$A8)^Valuation!G43+Valuation!G36*(1-B$5/Scenarios!$D$27)*(1+B$5)/($A8-B$5)/(1+$A8)^Drivers!$B$32+'Equity Bridge'!$C$15)/Drivers!$B$6</x:f>
        <x:v>168.83953202221406</x:v>
      </x:c>
      <x:c r="C8" s="11" t="n">
        <x:f>(Valuation!B42/(1+$A8)^Valuation!B43+Valuation!C42/(1+$A8)^Valuation!C43+Valuation!D42/(1+$A8)^Valuation!D43+Valuation!E42/(1+$A8)^Valuation!E43+Valuation!F42/(1+$A8)^Valuation!F43+Valuation!G42/(1+$A8)^Valuation!G43+Valuation!G36*(1-C$5/Scenarios!$D$27)*(1+C$5)/($A8-C$5)/(1+$A8)^Drivers!$B$32+'Equity Bridge'!$C$15)/Drivers!$B$6</x:f>
        <x:v>174.62356008165057</x:v>
      </x:c>
      <x:c r="D8" s="11" t="n">
        <x:f>(Valuation!B42/(1+$A8)^Valuation!B43+Valuation!C42/(1+$A8)^Valuation!C43+Valuation!D42/(1+$A8)^Valuation!D43+Valuation!E42/(1+$A8)^Valuation!E43+Valuation!F42/(1+$A8)^Valuation!F43+Valuation!G42/(1+$A8)^Valuation!G43+Valuation!G36*(1-D$5/Scenarios!$D$27)*(1+D$5)/($A8-D$5)/(1+$A8)^Drivers!$B$32+'Equity Bridge'!$C$15)/Drivers!$B$6</x:f>
        <x:v>181.21194096856883</x:v>
      </x:c>
      <x:c r="E8" s="11" t="n">
        <x:f>(Valuation!B42/(1+$A8)^Valuation!B43+Valuation!C42/(1+$A8)^Valuation!C43+Valuation!D42/(1+$A8)^Valuation!D43+Valuation!E42/(1+$A8)^Valuation!E43+Valuation!F42/(1+$A8)^Valuation!F43+Valuation!G42/(1+$A8)^Valuation!G43+Valuation!G36*(1-E$5/Scenarios!$D$27)*(1+E$5)/($A8-E$5)/(1+$A8)^Drivers!$B$32+'Equity Bridge'!$C$15)/Drivers!$B$6</x:f>
        <x:v>188.79029456623374</x:v>
      </x:c>
      <x:c r="F8" s="11" t="n">
        <x:f>(Valuation!B42/(1+$A8)^Valuation!B43+Valuation!C42/(1+$A8)^Valuation!C43+Valuation!D42/(1+$A8)^Valuation!D43+Valuation!E42/(1+$A8)^Valuation!E43+Valuation!F42/(1+$A8)^Valuation!F43+Valuation!G42/(1+$A8)^Valuation!G43+Valuation!G36*(1-F$5/Scenarios!$D$27)*(1+F$5)/($A8-F$5)/(1+$A8)^Drivers!$B$32+'Equity Bridge'!$C$15)/Drivers!$B$6</x:f>
        <x:v>197.60611405233206</x:v>
      </x:c>
    </x:row>
    <x:row r="9" ht="15" hidden="0" customHeight="1">
      <x:c r="A9" s="71" t="n">
        <x:v>0.107</x:v>
      </x:c>
      <x:c r="B9" s="11" t="n">
        <x:f>(Valuation!B42/(1+$A9)^Valuation!B43+Valuation!C42/(1+$A9)^Valuation!C43+Valuation!D42/(1+$A9)^Valuation!D43+Valuation!E42/(1+$A9)^Valuation!E43+Valuation!F42/(1+$A9)^Valuation!F43+Valuation!G42/(1+$A9)^Valuation!G43+Valuation!G36*(1-B$5/Scenarios!$D$27)*(1+B$5)/($A9-B$5)/(1+$A9)^Drivers!$B$32+'Equity Bridge'!$C$15)/Drivers!$B$6</x:f>
        <x:v>155.63978908626044</x:v>
      </x:c>
      <x:c r="C9" s="11" t="n">
        <x:f>(Valuation!B42/(1+$A9)^Valuation!B43+Valuation!C42/(1+$A9)^Valuation!C43+Valuation!D42/(1+$A9)^Valuation!D43+Valuation!E42/(1+$A9)^Valuation!E43+Valuation!F42/(1+$A9)^Valuation!F43+Valuation!G42/(1+$A9)^Valuation!G43+Valuation!G36*(1-C$5/Scenarios!$D$27)*(1+C$5)/($A9-C$5)/(1+$A9)^Drivers!$B$32+'Equity Bridge'!$C$15)/Drivers!$B$6</x:f>
        <x:v>160.2300795045927</x:v>
      </x:c>
      <x:c r="D9" s="93" t="n">
        <x:f>(Valuation!B42/(1+$A9)^Valuation!B43+Valuation!C42/(1+$A9)^Valuation!C43+Valuation!D42/(1+$A9)^Valuation!D43+Valuation!E42/(1+$A9)^Valuation!E43+Valuation!F42/(1+$A9)^Valuation!F43+Valuation!G42/(1+$A9)^Valuation!G43+Valuation!G36*(1-D$5/Scenarios!$D$27)*(1+D$5)/($A9-D$5)/(1+$A9)^Drivers!$B$32+'Equity Bridge'!$C$15)/Drivers!$B$6</x:f>
        <x:v>165.39724902118806</x:v>
      </x:c>
      <x:c r="E9" s="11" t="n">
        <x:f>(Valuation!B42/(1+$A9)^Valuation!B43+Valuation!C42/(1+$A9)^Valuation!C43+Valuation!D42/(1+$A9)^Valuation!D43+Valuation!E42/(1+$A9)^Valuation!E43+Valuation!F42/(1+$A9)^Valuation!F43+Valuation!G42/(1+$A9)^Valuation!G43+Valuation!G36*(1-E$5/Scenarios!$D$27)*(1+E$5)/($A9-E$5)/(1+$A9)^Drivers!$B$32+'Equity Bridge'!$C$15)/Drivers!$B$6</x:f>
        <x:v>171.26148078151792</x:v>
      </x:c>
      <x:c r="F9" s="11" t="n">
        <x:f>(Valuation!B42/(1+$A9)^Valuation!B43+Valuation!C42/(1+$A9)^Valuation!C43+Valuation!D42/(1+$A9)^Valuation!D43+Valuation!E42/(1+$A9)^Valuation!E43+Valuation!F42/(1+$A9)^Valuation!F43+Valuation!G42/(1+$A9)^Valuation!G43+Valuation!G36*(1-F$5/Scenarios!$D$27)*(1+F$5)/($A9-F$5)/(1+$A9)^Drivers!$B$32+'Equity Bridge'!$C$15)/Drivers!$B$6</x:f>
        <x:v>177.97883349686623</x:v>
      </x:c>
    </x:row>
    <x:row r="10" ht="15" hidden="0" customHeight="1">
      <x:c r="A10" s="71" t="n">
        <x:v>0.12</x:v>
      </x:c>
      <x:c r="B10" s="11" t="n">
        <x:f>(Valuation!B42/(1+$A10)^Valuation!B43+Valuation!C42/(1+$A10)^Valuation!C43+Valuation!D42/(1+$A10)^Valuation!D43+Valuation!E42/(1+$A10)^Valuation!E43+Valuation!F42/(1+$A10)^Valuation!F43+Valuation!G42/(1+$A10)^Valuation!G43+Valuation!G36*(1-B$5/Scenarios!$D$27)*(1+B$5)/($A10-B$5)/(1+$A10)^Drivers!$B$32+'Equity Bridge'!$C$15)/Drivers!$B$6</x:f>
        <x:v>136.06370491855554</x:v>
      </x:c>
      <x:c r="C10" s="11" t="n">
        <x:f>(Valuation!B42/(1+$A10)^Valuation!B43+Valuation!C42/(1+$A10)^Valuation!C43+Valuation!D42/(1+$A10)^Valuation!D43+Valuation!E42/(1+$A10)^Valuation!E43+Valuation!F42/(1+$A10)^Valuation!F43+Valuation!G42/(1+$A10)^Valuation!G43+Valuation!G36*(1-C$5/Scenarios!$D$27)*(1+C$5)/($A10-C$5)/(1+$A10)^Drivers!$B$32+'Equity Bridge'!$C$15)/Drivers!$B$6</x:f>
        <x:v>139.15566041398822</x:v>
      </x:c>
      <x:c r="D10" s="11" t="n">
        <x:f>(Valuation!B42/(1+$A10)^Valuation!B43+Valuation!C42/(1+$A10)^Valuation!C43+Valuation!D42/(1+$A10)^Valuation!D43+Valuation!E42/(1+$A10)^Valuation!E43+Valuation!F42/(1+$A10)^Valuation!F43+Valuation!G42/(1+$A10)^Valuation!G43+Valuation!G36*(1-D$5/Scenarios!$D$27)*(1+D$5)/($A10-D$5)/(1+$A10)^Drivers!$B$32+'Equity Bridge'!$C$15)/Drivers!$B$6</x:f>
        <x:v>142.57570592883204</x:v>
      </x:c>
      <x:c r="E10" s="11" t="n">
        <x:f>(Valuation!B42/(1+$A10)^Valuation!B43+Valuation!C42/(1+$A10)^Valuation!C43+Valuation!D42/(1+$A10)^Valuation!D43+Valuation!E42/(1+$A10)^Valuation!E43+Valuation!F42/(1+$A10)^Valuation!F43+Valuation!G42/(1+$A10)^Valuation!G43+Valuation!G36*(1-E$5/Scenarios!$D$27)*(1+E$5)/($A10-E$5)/(1+$A10)^Drivers!$B$32+'Equity Bridge'!$C$15)/Drivers!$B$6</x:f>
        <x:v>146.38173970180662</x:v>
      </x:c>
      <x:c r="F10" s="11" t="n">
        <x:f>(Valuation!B42/(1+$A10)^Valuation!B43+Valuation!C42/(1+$A10)^Valuation!C43+Valuation!D42/(1+$A10)^Valuation!D43+Valuation!E42/(1+$A10)^Valuation!E43+Valuation!F42/(1+$A10)^Valuation!F43+Valuation!G42/(1+$A10)^Valuation!G43+Valuation!G36*(1-F$5/Scenarios!$D$27)*(1+F$5)/($A10-F$5)/(1+$A10)^Drivers!$B$32+'Equity Bridge'!$C$15)/Drivers!$B$6</x:f>
        <x:v>150.64613453131147</x:v>
      </x:c>
    </x:row>
    <x:row r="11"/>
    <x:row r="12"/>
    <x:row r="13" ht="15" hidden="0" customHeight="1">
      <x:c r="A13" s="113" t="str">
        <x:v>Read the grid as a duration diagnostic. The base cell is WACC 10.7% / g 3.0%; spot requires a materially lower discount rate on the same cash flows.</x:v>
      </x:c>
      <x:c r="B13" s="113" t="str">
        <x:v>Read the grid as a duration diagnostic. The base cell is WACC 10.7% / g 3.0%; spot requires a materially lower discount rate on the same cash flows.</x:v>
      </x:c>
      <x:c r="C13" s="113" t="str">
        <x:v>Read the grid as a duration diagnostic. The base cell is WACC 10.7% / g 3.0%; spot requires a materially lower discount rate on the same cash flows.</x:v>
      </x:c>
      <x:c r="D13" s="113" t="str">
        <x:v>Read the grid as a duration diagnostic. The base cell is WACC 10.7% / g 3.0%; spot requires a materially lower discount rate on the same cash flows.</x:v>
      </x:c>
      <x:c r="E13" s="113" t="str">
        <x:v>Read the grid as a duration diagnostic. The base cell is WACC 10.7% / g 3.0%; spot requires a materially lower discount rate on the same cash flows.</x:v>
      </x:c>
      <x:c r="F13" s="113" t="str">
        <x:v>Read the grid as a duration diagnostic. The base cell is WACC 10.7% / g 3.0%; spot requires a materially lower discount rate on the same cash flows.</x:v>
      </x:c>
      <x:c r="G13" s="113" t="str">
        <x:v>Read the grid as a duration diagnostic. The base cell is WACC 10.7% / g 3.0%; spot requires a materially lower discount rate on the same cash flows.</x:v>
      </x:c>
    </x:row>
  </x:sheetData>
  <x:mergeCells>
    <x:mergeCell ref="A1:G1"/>
    <x:mergeCell ref="A2:G2"/>
    <x:mergeCell ref="A4:F4"/>
    <x:mergeCell ref="A13:G1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6" hidden="0" customWidth="1"/>
    <x:col min="3" max="3" width="14" hidden="0" customWidth="1"/>
    <x:col min="4" max="4" width="48" hidden="0" customWidth="1"/>
  </x:cols>
  <x:sheetData>
    <x:row r="1" ht="21.600000381469727" hidden="0" customHeight="1">
      <x:c r="A1" s="2" t="str">
        <x:v>Decision and capital gates</x:v>
      </x:c>
      <x:c r="B1" s="2" t="str">
        <x:v>Decision and capital gates</x:v>
      </x:c>
      <x:c r="C1" s="2" t="str">
        <x:v>Decision and capital gates</x:v>
      </x:c>
      <x:c r="D1" s="2" t="str">
        <x:v>Decision and capital gates</x:v>
      </x:c>
    </x:row>
    <x:row r="2" ht="15" hidden="0" customHeight="1">
      <x:c r="A2" s="5" t="str">
        <x:v>A polished model is not permission to trade. Every gate below must be cleared at the decision time.</x:v>
      </x:c>
      <x:c r="B2" s="5" t="str">
        <x:v>A polished model is not permission to trade. Every gate below must be cleared at the decision time.</x:v>
      </x:c>
      <x:c r="C2" s="5" t="str">
        <x:v>A polished model is not permission to trade. Every gate below must be cleared at the decision time.</x:v>
      </x:c>
      <x:c r="D2" s="5" t="str">
        <x:v>A polished model is not permission to trade. Every gate below must be cleared at the decision time.</x:v>
      </x:c>
    </x:row>
    <x:row r="3"/>
    <x:row r="4" ht="15" hidden="0" customHeight="1">
      <x:c r="A4" s="26" t="str">
        <x:v>Decision item</x:v>
      </x:c>
      <x:c r="B4" s="26" t="str">
        <x:v>Value</x:v>
      </x:c>
    </x:row>
    <x:row r="5" ht="15" hidden="0" customHeight="1">
      <x:c r="A5" s="10" t="str">
        <x:v>Spot</x:v>
      </x:c>
      <x:c r="B5" s="11" t="n">
        <x:f>Drivers!B5</x:f>
        <x:v>223.9</x:v>
      </x:c>
    </x:row>
    <x:row r="6" ht="15" hidden="0" customHeight="1">
      <x:c r="A6" s="10" t="str">
        <x:v>Bear value</x:v>
      </x:c>
      <x:c r="B6" s="11" t="n">
        <x:f>Scenarios!H26</x:f>
        <x:v>57.21970990409426</x:v>
      </x:c>
    </x:row>
    <x:row r="7" ht="15" hidden="0" customHeight="1">
      <x:c r="A7" s="10" t="str">
        <x:v>Base value</x:v>
      </x:c>
      <x:c r="B7" s="11" t="n">
        <x:f>Scenarios!H27</x:f>
        <x:v>165.39724902118806</x:v>
      </x:c>
    </x:row>
    <x:row r="8" ht="15" hidden="0" customHeight="1">
      <x:c r="A8" s="10" t="str">
        <x:v>Bull value</x:v>
      </x:c>
      <x:c r="B8" s="11" t="n">
        <x:f>Scenarios!H28</x:f>
        <x:v>377.6780066260527</x:v>
      </x:c>
    </x:row>
    <x:row r="9" ht="15" hidden="0" customHeight="1">
      <x:c r="A9" s="10" t="str">
        <x:v>Base upside</x:v>
      </x:c>
      <x:c r="B9" s="71" t="n">
        <x:f>B7/B5-1</x:f>
        <x:v>-0.26128964260300114</x:v>
      </x:c>
    </x:row>
    <x:row r="10" ht="15" hidden="0" customHeight="1">
      <x:c r="A10" s="10" t="str">
        <x:v>Required net return</x:v>
      </x:c>
      <x:c r="B10" s="71" t="n">
        <x:f>Drivers!B30</x:f>
        <x:v>0.2</x:v>
      </x:c>
    </x:row>
    <x:row r="11" ht="15" hidden="0" customHeight="1">
      <x:c r="A11" s="10" t="str">
        <x:v>Long entry reference</x:v>
      </x:c>
      <x:c r="B11" s="11" t="n">
        <x:f>B7/(1+B10)</x:f>
        <x:v>137.83104085099006</x:v>
      </x:c>
    </x:row>
    <x:row r="12" ht="15" hidden="0" customHeight="1">
      <x:c r="A12" s="10" t="str">
        <x:v>Open capital gates</x:v>
      </x:c>
      <x:c r="B12" s="116" t="n">
        <x:f>COUNTIF(C16:C22,"OPEN")</x:f>
        <x:v>7</x:v>
      </x:c>
    </x:row>
    <x:row r="13" ht="15" hidden="0" customHeight="1">
      <x:c r="A13" s="83" t="str">
        <x:v>Position size</x:v>
      </x:c>
      <x:c r="B13" s="117" t="n">
        <x:f>0</x:f>
        <x:v>0</x:v>
      </x:c>
    </x:row>
    <x:row r="14"/>
    <x:row r="15" ht="15" hidden="0" customHeight="1">
      <x:c r="A15" s="26" t="str">
        <x:v>Gate</x:v>
      </x:c>
      <x:c r="B15" s="26" t="str">
        <x:v>Required evidence</x:v>
      </x:c>
      <x:c r="C15" s="26" t="str">
        <x:v>Status</x:v>
      </x:c>
      <x:c r="D15" s="26" t="str">
        <x:v>Owner / timing</x:v>
      </x:c>
    </x:row>
    <x:row r="16" ht="15" hidden="0" customHeight="1">
      <x:c r="A16" s="22" t="str">
        <x:v>Variant</x:v>
      </x:c>
      <x:c r="B16" s="22" t="str">
        <x:v>Freeze broker-level consensus, cohort and revision history around the next print.</x:v>
      </x:c>
      <x:c r="C16" s="121" t="str">
        <x:v>OPEN</x:v>
      </x:c>
      <x:c r="D16" s="22" t="str">
        <x:v>PM / analyst before entry</x:v>
      </x:c>
    </x:row>
    <x:row r="17" ht="15" hidden="0" customHeight="1">
      <x:c r="A17" s="22" t="str">
        <x:v>Catalyst</x:v>
      </x:c>
      <x:c r="B17" s="22" t="str">
        <x:v>Reconcile Q2 actuals and forward guidance; reverify the event date on official IR.</x:v>
      </x:c>
      <x:c r="C17" s="121" t="str">
        <x:v>OPEN</x:v>
      </x:c>
      <x:c r="D17" s="22" t="str">
        <x:v>PM / analyst before entry</x:v>
      </x:c>
    </x:row>
    <x:row r="18" ht="15" hidden="0" customHeight="1">
      <x:c r="A18" s="22" t="str">
        <x:v>Demand quality</x:v>
      </x:c>
      <x:c r="B18" s="22" t="str">
        <x:v>Quantify customer-financing exposure within investments and commitments.</x:v>
      </x:c>
      <x:c r="C18" s="121" t="str">
        <x:v>OPEN</x:v>
      </x:c>
      <x:c r="D18" s="22" t="str">
        <x:v>PM / analyst before entry</x:v>
      </x:c>
    </x:row>
    <x:row r="19" ht="15" hidden="0" customHeight="1">
      <x:c r="A19" s="22" t="str">
        <x:v>Channel</x:v>
      </x:c>
      <x:c r="B19" s="22" t="str">
        <x:v>Obtain lead-time, backlog, cancellation and pull-forward evidence.</x:v>
      </x:c>
      <x:c r="C19" s="121" t="str">
        <x:v>OPEN</x:v>
      </x:c>
      <x:c r="D19" s="22" t="str">
        <x:v>PM / analyst before entry</x:v>
      </x:c>
    </x:row>
    <x:row r="20" ht="15" hidden="0" customHeight="1">
      <x:c r="A20" s="22" t="str">
        <x:v>Market</x:v>
      </x:c>
      <x:c r="B20" s="22" t="str">
        <x:v>Refresh price, liquidity, options, short interest, borrow and crowding.</x:v>
      </x:c>
      <x:c r="C20" s="121" t="str">
        <x:v>OPEN</x:v>
      </x:c>
      <x:c r="D20" s="22" t="str">
        <x:v>PM / analyst before entry</x:v>
      </x:c>
    </x:row>
    <x:row r="21" ht="15" hidden="0" customHeight="1">
      <x:c r="A21" s="22" t="str">
        <x:v>Portfolio</x:v>
      </x:c>
      <x:c r="B21" s="22" t="str">
        <x:v>Complete current exposure, risk budget, factor, hedge and drawdown ledger.</x:v>
      </x:c>
      <x:c r="C21" s="121" t="str">
        <x:v>OPEN</x:v>
      </x:c>
      <x:c r="D21" s="22" t="str">
        <x:v>PM / analyst before entry</x:v>
      </x:c>
    </x:row>
    <x:row r="22" ht="15" hidden="0" customHeight="1">
      <x:c r="A22" s="22" t="str">
        <x:v>Hurdle</x:v>
      </x:c>
      <x:c r="B22" s="22" t="str">
        <x:v>Require an observable variant and at least 20% net underwritten return.</x:v>
      </x:c>
      <x:c r="C22" s="121" t="str">
        <x:v>OPEN</x:v>
      </x:c>
      <x:c r="D22" s="22" t="str">
        <x:v>PM / analyst before entry</x:v>
      </x:c>
    </x:row>
    <x:row r="23"/>
    <x:row r="24"/>
    <x:row r="25" ht="15" hidden="0" customHeight="1">
      <x:c r="A25" s="19" t="str">
        <x:v>Conditional action rules</x:v>
      </x:c>
      <x:c r="B25" s="19" t="str">
        <x:v>Conditional action rules</x:v>
      </x:c>
      <x:c r="C25" s="19" t="str">
        <x:v>Conditional action rules</x:v>
      </x:c>
      <x:c r="D25" s="19" t="str">
        <x:v>Conditional action rules</x:v>
      </x:c>
    </x:row>
    <x:row r="26" ht="15" hidden="0" customHeight="1">
      <x:c r="A26" s="22" t="str">
        <x:v>Long</x:v>
      </x:c>
      <x:c r="B26" s="22" t="str">
        <x:v>Q2/guide establish upside to frozen consensus; demand-quality work clears; net return ≥20%</x:v>
      </x:c>
      <x:c r="C26" s="22" t="str">
        <x:v>THEN</x:v>
      </x:c>
      <x:c r="D26" s="22" t="str">
        <x:v>Re-underwrite value, hedge and event loss before sizing</x:v>
      </x:c>
    </x:row>
    <x:row r="27" ht="26.399999618530273" hidden="0" customHeight="1">
      <x:c r="A27" s="22" t="str">
        <x:v>Short</x:v>
      </x:c>
      <x:c r="B27" s="22" t="str">
        <x:v>Reported demand or guide breaks base; revisions follow; uncapped upside is controlled; net downside ≥20%</x:v>
      </x:c>
      <x:c r="C27" s="22" t="str">
        <x:v>THEN</x:v>
      </x:c>
      <x:c r="D27" s="22" t="str">
        <x:v>Re-underwrite borrow, options, crowding and factor hedge</x:v>
      </x:c>
    </x:row>
    <x:row r="28" ht="15" hidden="0" customHeight="1">
      <x:c r="A28" s="22" t="str">
        <x:v>Current</x:v>
      </x:c>
      <x:c r="B28" s="22" t="str">
        <x:v>No verified variant; base DCF below spot; bull state uncapped; all gates open</x:v>
      </x:c>
      <x:c r="C28" s="22" t="str">
        <x:v>ACTION</x:v>
      </x:c>
      <x:c r="D28" s="22" t="str">
        <x:v>WATCHLIST / NO POSITION</x:v>
      </x:c>
    </x:row>
    <x:row r="29" ht="15" hidden="0" customHeight="1">
      <x:c r="A29" s="22" t="str">
        <x:v>Event date</x:v>
      </x:c>
      <x:c r="B29" s="22" t="str">
        <x:v>August 26 appears in prior market calendar, but official IR rate-limited this rebuild</x:v>
      </x:c>
      <x:c r="C29" s="22" t="str">
        <x:v>ACTION</x:v>
      </x:c>
      <x:c r="D29" s="22" t="str">
        <x:v>Reverify on official IR before relying on date</x:v>
      </x:c>
    </x:row>
  </x:sheetData>
  <x:mergeCells>
    <x:mergeCell ref="A1:D1"/>
    <x:mergeCell ref="A2:D2"/>
    <x:mergeCell ref="A25:D2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56" hidden="0" customWidth="1"/>
  </x:cols>
  <x:sheetData>
    <x:row r="1" ht="21.600000381469727" hidden="0" customHeight="1">
      <x:c r="A1" s="2" t="str">
        <x:v>Model checks</x:v>
      </x:c>
      <x:c r="B1" s="2" t="str">
        <x:v>Model checks</x:v>
      </x:c>
      <x:c r="C1" s="2" t="str">
        <x:v>Model checks</x:v>
      </x:c>
    </x:row>
    <x:row r="2" ht="15" hidden="0" customHeight="1">
      <x:c r="A2" s="5" t="str">
        <x:v>These controls cover the exact seams that failed in the prior version. Formula-error scans are also run outside Excel before circulation.</x:v>
      </x:c>
      <x:c r="B2" s="5" t="str">
        <x:v>These controls cover the exact seams that failed in the prior version. Formula-error scans are also run outside Excel before circulation.</x:v>
      </x:c>
      <x:c r="C2" s="5" t="str">
        <x:v>These controls cover the exact seams that failed in the prior version. Formula-error scans are also run outside Excel before circulation.</x:v>
      </x:c>
    </x:row>
    <x:row r="3"/>
    <x:row r="4" ht="15" hidden="0" customHeight="1">
      <x:c r="A4" s="26" t="str">
        <x:v>Control</x:v>
      </x:c>
      <x:c r="B4" s="26" t="str">
        <x:v>Result</x:v>
      </x:c>
      <x:c r="C4" s="26" t="str">
        <x:v>Formula / threshold</x:v>
      </x:c>
    </x:row>
    <x:row r="5" ht="15" hidden="0" customHeight="1">
      <x:c r="A5" s="22" t="str">
        <x:v>Scenario ordering</x:v>
      </x:c>
      <x:c r="B5" s="30" t="str">
        <x:f>IF(AND(Scenarios!H26&lt;Scenarios!H27,Scenarios!H27&lt;Scenarios!H28),"PASS","FAIL")</x:f>
        <x:v>PASS</x:v>
      </x:c>
      <x:c r="C5" s="22" t="str">
        <x:v>Bear &lt; Base &lt; Bull</x:v>
      </x:c>
    </x:row>
    <x:row r="6" ht="15" hidden="0" customHeight="1">
      <x:c r="A6" s="22" t="str">
        <x:v>WACC build rounds to base input</x:v>
      </x:c>
      <x:c r="B6" s="30" t="str">
        <x:f>IF(ABS(WACC!B14-Scenarios!B27)&lt;0.0003,"PASS","FAIL")</x:f>
        <x:v>PASS</x:v>
      </x:c>
      <x:c r="C6" s="22" t="str">
        <x:v>Difference &lt; 3bp</x:v>
      </x:c>
    </x:row>
    <x:row r="7" ht="15" hidden="0" customHeight="1">
      <x:c r="A7" s="22" t="str">
        <x:v>WACC spread over terminal growth</x:v>
      </x:c>
      <x:c r="B7" s="30" t="str">
        <x:f>IF(Scenarios!B27-Scenarios!C27&gt;4%,"PASS","FAIL")</x:f>
        <x:v>PASS</x:v>
      </x:c>
      <x:c r="C7" s="22" t="str">
        <x:v>&gt; 400bp</x:v>
      </x:c>
    </x:row>
    <x:row r="8" ht="15" hidden="0" customHeight="1">
      <x:c r="A8" s="22" t="str">
        <x:v>Terminal ROIC exceeds growth</x:v>
      </x:c>
      <x:c r="B8" s="30" t="str">
        <x:f>IF(Scenarios!D27&gt;Scenarios!C27,"PASS","FAIL")</x:f>
        <x:v>PASS</x:v>
      </x:c>
      <x:c r="C8" s="22" t="str">
        <x:v>ROIC &gt; g</x:v>
      </x:c>
    </x:row>
    <x:row r="9" ht="15" hidden="0" customHeight="1">
      <x:c r="A9" s="22" t="str">
        <x:v>FY2027 D&amp;A floor</x:v>
      </x:c>
      <x:c r="B9" s="30" t="str">
        <x:f>IF(Depreciation!B25&gt;Drivers!B14+Drivers!B15,"PASS","FAIL")</x:f>
        <x:v>PASS</x:v>
      </x:c>
      <x:c r="C9" s="22" t="str">
        <x:v>&gt; Q1 D&amp;A + remaining amortization</x:v>
      </x:c>
    </x:row>
    <x:row r="10" ht="15" hidden="0" customHeight="1">
      <x:c r="A10" s="22" t="str">
        <x:v>Q1 equity gains retained</x:v>
      </x:c>
      <x:c r="B10" s="30" t="str">
        <x:f>IF(ABS(Drivers!B37-15.936)&lt;0.001,"PASS","FAIL")</x:f>
        <x:v>PASS</x:v>
      </x:c>
      <x:c r="C10" s="22" t="str">
        <x:v>$15.936bn exactly</x:v>
      </x:c>
    </x:row>
    <x:row r="11" ht="15" hidden="0" customHeight="1">
      <x:c r="A11" s="22" t="str">
        <x:v>April liquid balance ties</x:v>
      </x:c>
      <x:c r="B11" s="30" t="str">
        <x:f>IF(ABS(Drivers!B17-50.335)&lt;0.001,"PASS","FAIL")</x:f>
        <x:v>PASS</x:v>
      </x:c>
      <x:c r="C11" s="22" t="str">
        <x:v>$50.335bn exactly</x:v>
      </x:c>
    </x:row>
    <x:row r="12" ht="15" hidden="0" customHeight="1">
      <x:c r="A12" s="22" t="str">
        <x:v>All capital gates imply zero size</x:v>
      </x:c>
      <x:c r="B12" s="30" t="str">
        <x:f>IF(AND(Decision!B12=7,Decision!B13=0),"PASS","FAIL")</x:f>
        <x:v>PASS</x:v>
      </x:c>
      <x:c r="C12" s="22" t="str">
        <x:v>7 open and 0.0%</x:v>
      </x:c>
    </x:row>
    <x:row r="13" ht="15" hidden="0" customHeight="1">
      <x:c r="A13" s="22" t="str">
        <x:v>No probability-weighted decision</x:v>
      </x:c>
      <x:c r="B13" s="30" t="str">
        <x:f>IF(COUNTIF(Decision!A5:A13,"*Expected*")=0,"PASS","FAIL")</x:f>
        <x:v>PASS</x:v>
      </x:c>
      <x:c r="C13" s="22" t="str">
        <x:v>No expected-value row</x:v>
      </x:c>
    </x:row>
    <x:row r="14" ht="15" hidden="0" customHeight="1">
      <x:c r="A14" s="22" t="str">
        <x:v>Base sensitivity center</x:v>
      </x:c>
      <x:c r="B14" s="30" t="str">
        <x:f>IF(ABS(Sensitivities!D9-Scenarios!H27)&lt;0.01,"PASS","FAIL")</x:f>
        <x:v>PASS</x:v>
      </x:c>
      <x:c r="C14" s="22" t="str">
        <x:v>Matches base DCF</x:v>
      </x:c>
    </x:row>
    <x:row r="15" ht="15" hidden="0" customHeight="1">
      <x:c r="A15" s="127" t="str">
        <x:v>Check failures</x:v>
      </x:c>
      <x:c r="B15" s="128" t="n">
        <x:f>COUNTIF(B5:B14,"FAIL")</x:f>
        <x:v>0</x:v>
      </x:c>
      <x:c r="C15" s="127" t="str">
        <x:v>Must equal zero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4" hidden="0" customWidth="1"/>
    <x:col min="3" max="3" width="54" hidden="0" customWidth="1"/>
    <x:col min="4" max="4" width="48" hidden="0" customWidth="1"/>
  </x:cols>
  <x:sheetData>
    <x:row r="1" ht="21.600000381469727" hidden="0" customHeight="1">
      <x:c r="A1" s="2" t="str">
        <x:v>Conventions and limitations</x:v>
      </x:c>
      <x:c r="B1" s="2" t="str">
        <x:v>Conventions and limitations</x:v>
      </x:c>
      <x:c r="C1" s="2" t="str">
        <x:v>Conventions and limitations</x:v>
      </x:c>
      <x:c r="D1" s="2" t="str">
        <x:v>Conventions and limitations</x:v>
      </x:c>
    </x:row>
    <x:row r="2" ht="15" hidden="0" customHeight="1">
      <x:c r="A2" s="5" t="str">
        <x:v>Read before using any output in an investment discussion.</x:v>
      </x:c>
      <x:c r="B2" s="5" t="str">
        <x:v>Read before using any output in an investment discussion.</x:v>
      </x:c>
      <x:c r="C2" s="5" t="str">
        <x:v>Read before using any output in an investment discussion.</x:v>
      </x:c>
      <x:c r="D2" s="5" t="str">
        <x:v>Read before using any output in an investment discussion.</x:v>
      </x:c>
    </x:row>
    <x:row r="3"/>
    <x:row r="4" ht="15" hidden="0" customHeight="1">
      <x:c r="A4" s="26" t="str">
        <x:v>Topic</x:v>
      </x:c>
      <x:c r="B4" s="26" t="str">
        <x:v>Treatment</x:v>
      </x:c>
      <x:c r="C4" s="26" t="str">
        <x:v>Risk</x:v>
      </x:c>
      <x:c r="D4" s="26" t="str">
        <x:v>Required follow-up</x:v>
      </x:c>
    </x:row>
    <x:row r="5" ht="15" hidden="0" customHeight="1">
      <x:c r="A5" s="22" t="str">
        <x:v>Units</x:v>
      </x:c>
      <x:c r="B5" s="22" t="str">
        <x:v>$bn except per-share values and percentages</x:v>
      </x:c>
      <x:c r="C5" s="22" t="str">
        <x:v>Mixing units can create silent errors</x:v>
      </x:c>
      <x:c r="D5" s="22" t="str">
        <x:v>Check source and number format</x:v>
      </x:c>
    </x:row>
    <x:row r="6" ht="15" hidden="0" customHeight="1">
      <x:c r="A6" s="22" t="str">
        <x:v>Valuation date</x:v>
      </x:c>
      <x:c r="B6" s="22" t="str">
        <x:v>Aug. 7 market cut; Apr. 26 balance sheet</x:v>
      </x:c>
      <x:c r="C6" s="22" t="str">
        <x:v>Q2 balance sheet is not filed</x:v>
      </x:c>
      <x:c r="D6" s="22" t="str">
        <x:v>Refresh after Q2</x:v>
      </x:c>
    </x:row>
    <x:row r="7" ht="15" hidden="0" customHeight="1">
      <x:c r="A7" s="22" t="str">
        <x:v>FY2027 stub</x:v>
      </x:c>
      <x:c r="B7" s="22" t="str">
        <x:v>Full-year FCFF less Q1 reported CFO less capex</x:v>
      </x:c>
      <x:c r="C7" s="22" t="str">
        <x:v>CFO less capex is an FCFF proxy</x:v>
      </x:c>
      <x:c r="D7" s="22" t="str">
        <x:v>Replace with filed Q2 bridge</x:v>
      </x:c>
    </x:row>
    <x:row r="8" ht="15" hidden="0" customHeight="1">
      <x:c r="A8" s="22" t="str">
        <x:v>Revenue</x:v>
      </x:c>
      <x:c r="B8" s="22" t="str">
        <x:v>Consolidated scenarios</x:v>
      </x:c>
      <x:c r="C8" s="22" t="str">
        <x:v>No bottom-up current-platform forecast</x:v>
      </x:c>
      <x:c r="D8" s="22" t="str">
        <x:v>Build Data Center / Edge after enough reported history</x:v>
      </x:c>
    </x:row>
    <x:row r="9" ht="15" hidden="0" customHeight="1">
      <x:c r="A9" s="22" t="str">
        <x:v>D&amp;A</x:v>
      </x:c>
      <x:c r="B9" s="22" t="str">
        <x:v>Opening runoff plus forecast vintages</x:v>
      </x:c>
      <x:c r="C9" s="22" t="str">
        <x:v>Asset mix and lives are analyst assumptions</x:v>
      </x:c>
      <x:c r="D9" s="22" t="str">
        <x:v>Recalibrate to disclosures</x:v>
      </x:c>
    </x:row>
    <x:row r="10" ht="15" hidden="0" customHeight="1">
      <x:c r="A10" s="22" t="str">
        <x:v>Terminal value</x:v>
      </x:c>
      <x:c r="B10" s="22" t="str">
        <x:v>NOPAT × (1 − g / ROIC)</x:v>
      </x:c>
      <x:c r="C10" s="22" t="str">
        <x:v>Still 48%–76% of EV</x:v>
      </x:c>
      <x:c r="D10" s="22" t="str">
        <x:v>Use sensitivity, not a point target</x:v>
      </x:c>
    </x:row>
    <x:row r="11" ht="15" hidden="0" customHeight="1">
      <x:c r="A11" s="22" t="str">
        <x:v>Equity stakes</x:v>
      </x:c>
      <x:c r="B11" s="22" t="str">
        <x:v>Scenario haircuts by liquidity</x:v>
      </x:c>
      <x:c r="C11" s="22" t="str">
        <x:v>Carrying value and monetization differ</x:v>
      </x:c>
      <x:c r="D11" s="22" t="str">
        <x:v>Refresh holdings and lock-ups</x:v>
      </x:c>
    </x:row>
    <x:row r="12" ht="15" hidden="0" customHeight="1">
      <x:c r="A12" s="22" t="str">
        <x:v>Consensus</x:v>
      </x:c>
      <x:c r="B12" s="22" t="str">
        <x:v>Frozen FMP annual snapshot</x:v>
      </x:c>
      <x:c r="C12" s="22" t="str">
        <x:v>No broker provenance or revision history</x:v>
      </x:c>
      <x:c r="D12" s="22" t="str">
        <x:v>Freeze canonical panel</x:v>
      </x:c>
    </x:row>
    <x:row r="13" ht="15" hidden="0" customHeight="1">
      <x:c r="A13" s="22" t="str">
        <x:v>Scenarios</x:v>
      </x:c>
      <x:c r="B13" s="22" t="str">
        <x:v>Unweighted states</x:v>
      </x:c>
      <x:c r="C13" s="22" t="str">
        <x:v>No evidence-grade probabilities</x:v>
      </x:c>
      <x:c r="D13" s="22" t="str">
        <x:v>Do not compute expected value or Kelly</x:v>
      </x:c>
    </x:row>
    <x:row r="14" ht="15" hidden="0" customHeight="1">
      <x:c r="A14" s="22" t="str">
        <x:v>Implementation</x:v>
      </x:c>
      <x:c r="B14" s="22" t="str">
        <x:v>Position fixed at zero</x:v>
      </x:c>
      <x:c r="C14" s="22" t="str">
        <x:v>No book, borrow, options or factor context</x:v>
      </x:c>
      <x:c r="D14" s="22" t="str">
        <x:v>Complete capital gates</x:v>
      </x:c>
    </x:row>
  </x:sheetData>
  <x:mergeCells>
    <x:mergeCell ref="A1:D1"/>
    <x:mergeCell ref="A2:D2"/>
  </x:mergeCells>
  <x:pageMargins left="0.7" right="0.7" top="0.75" bottom="0.75" header="0.3" footer="0.3"/>
</x:worksheet>
</file>