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NVIDIA Corporation (NVDA)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  <c r="H4" s="4" t="inlineStr">
        <is>
          <t>Note</t>
        </is>
      </c>
    </row>
    <row r="5">
      <c r="A5" s="5" t="inlineStr">
        <is>
          <t>Data Center</t>
        </is>
      </c>
    </row>
    <row r="6">
      <c r="A6" t="inlineStr">
        <is>
          <t xml:space="preserve">   units</t>
        </is>
      </c>
      <c r="B6" s="6" t="n">
        <v>0.52</v>
      </c>
      <c r="C6" s="6" t="n">
        <v>0.3</v>
      </c>
      <c r="D6" s="6" t="n">
        <v>0.18</v>
      </c>
      <c r="E6" s="6" t="n">
        <v>0.1</v>
      </c>
      <c r="F6" s="6" t="n">
        <v>0.05</v>
      </c>
      <c r="G6" s="6" t="n">
        <v>0.02</v>
      </c>
    </row>
    <row r="7">
      <c r="A7" t="inlineStr">
        <is>
          <t xml:space="preserve">   asp</t>
        </is>
      </c>
      <c r="B7" s="6" t="n">
        <v>0.16</v>
      </c>
      <c r="C7" s="6" t="n">
        <v>0.1</v>
      </c>
      <c r="D7" s="6" t="n">
        <v>0.06</v>
      </c>
      <c r="E7" s="6" t="n">
        <v>0.03</v>
      </c>
      <c r="F7" s="6" t="n">
        <v>0.01</v>
      </c>
      <c r="G7" s="6" t="n">
        <v>0</v>
      </c>
    </row>
    <row r="8">
      <c r="A8" t="inlineStr">
        <is>
          <t xml:space="preserve">   attach networking</t>
        </is>
      </c>
      <c r="B8" s="6" t="n">
        <v>0.04</v>
      </c>
      <c r="C8" s="6" t="n">
        <v>0.03</v>
      </c>
      <c r="D8" s="6" t="n">
        <v>0.02</v>
      </c>
      <c r="E8" s="6" t="n">
        <v>0.02</v>
      </c>
      <c r="F8" s="6" t="n">
        <v>0.01</v>
      </c>
      <c r="G8" s="6" t="n">
        <v>0.01</v>
      </c>
    </row>
    <row r="9">
      <c r="A9" s="5" t="inlineStr">
        <is>
          <t>Gaming</t>
        </is>
      </c>
    </row>
    <row r="10">
      <c r="A10" t="inlineStr">
        <is>
          <t xml:space="preserve">   growth</t>
        </is>
      </c>
      <c r="B10" s="6" t="n">
        <v>0.12</v>
      </c>
      <c r="C10" s="6" t="n">
        <v>0.08</v>
      </c>
      <c r="D10" s="6" t="n">
        <v>0.06</v>
      </c>
      <c r="E10" s="6" t="n">
        <v>0.05</v>
      </c>
      <c r="F10" s="6" t="n">
        <v>0.04</v>
      </c>
      <c r="G10" s="6" t="n">
        <v>0.03</v>
      </c>
    </row>
    <row r="11">
      <c r="A11" s="5" t="inlineStr">
        <is>
          <t>Professional Visualization</t>
        </is>
      </c>
    </row>
    <row r="12">
      <c r="A12" t="inlineStr">
        <is>
          <t xml:space="preserve">   growth</t>
        </is>
      </c>
      <c r="B12" s="6" t="n">
        <v>0.2</v>
      </c>
      <c r="C12" s="6" t="n">
        <v>0.15</v>
      </c>
      <c r="D12" s="6" t="n">
        <v>0.12</v>
      </c>
      <c r="E12" s="6" t="n">
        <v>0.1</v>
      </c>
      <c r="F12" s="6" t="n">
        <v>0.08</v>
      </c>
      <c r="G12" s="6" t="n">
        <v>0.06</v>
      </c>
    </row>
    <row r="13">
      <c r="A13" s="5" t="inlineStr">
        <is>
          <t>Automotive</t>
        </is>
      </c>
    </row>
    <row r="14">
      <c r="A14" t="inlineStr">
        <is>
          <t xml:space="preserve">   growth</t>
        </is>
      </c>
      <c r="B14" s="6" t="n">
        <v>0.35</v>
      </c>
      <c r="C14" s="6" t="n">
        <v>0.3</v>
      </c>
      <c r="D14" s="6" t="n">
        <v>0.25</v>
      </c>
      <c r="E14" s="6" t="n">
        <v>0.2</v>
      </c>
      <c r="F14" s="6" t="n">
        <v>0.15</v>
      </c>
      <c r="G14" s="6" t="n">
        <v>0.12</v>
      </c>
    </row>
    <row r="15">
      <c r="A15" s="5" t="inlineStr">
        <is>
          <t>OEM &amp; other</t>
        </is>
      </c>
    </row>
    <row r="16">
      <c r="A16" t="inlineStr">
        <is>
          <t xml:space="preserve">   growth</t>
        </is>
      </c>
      <c r="B16" s="6" t="n">
        <v>0.05</v>
      </c>
      <c r="C16" s="6" t="n">
        <v>0.05</v>
      </c>
      <c r="D16" s="6" t="n">
        <v>0.05</v>
      </c>
      <c r="E16" s="6" t="n">
        <v>0.05</v>
      </c>
      <c r="F16" s="6" t="n">
        <v>0.05</v>
      </c>
      <c r="G16" s="6" t="n">
        <v>0.05</v>
      </c>
    </row>
    <row r="18">
      <c r="A18" s="5" t="inlineStr">
        <is>
          <t>EBITDA margin (cash margin, pre-D&amp;A)</t>
        </is>
      </c>
      <c r="B18" s="6" t="n">
        <v>0.645</v>
      </c>
      <c r="C18" s="6" t="n">
        <v>0.625</v>
      </c>
      <c r="D18" s="6" t="n">
        <v>0.6</v>
      </c>
      <c r="E18" s="6" t="n">
        <v>0.575</v>
      </c>
      <c r="F18" s="6" t="n">
        <v>0.55</v>
      </c>
      <c r="G18" s="6" t="n">
        <v>0.535</v>
      </c>
      <c r="H18" s="2" t="inlineStr">
        <is>
          <t>We forecast this and DERIVE EBIT by subtracting depreciation.</t>
        </is>
      </c>
    </row>
    <row r="19">
      <c r="A19" s="5" t="inlineStr">
        <is>
          <t>Capex % of revenue</t>
        </is>
      </c>
      <c r="B19" s="6" t="n">
        <v>0.01845208816479593</v>
      </c>
      <c r="C19" s="6" t="n">
        <v>0.02507125289887756</v>
      </c>
      <c r="D19" s="6" t="n">
        <v>0.03169041763295919</v>
      </c>
      <c r="E19" s="6" t="n">
        <v>0.035</v>
      </c>
      <c r="F19" s="6" t="n">
        <v>0.035</v>
      </c>
      <c r="G19" s="6" t="n">
        <v>0.035</v>
      </c>
      <c r="H19" s="2" t="inlineStr">
        <is>
          <t>Drives the depreciation schedule.</t>
        </is>
      </c>
    </row>
    <row r="20">
      <c r="A20" s="5" t="inlineStr">
        <is>
          <t>Tax rate</t>
        </is>
      </c>
      <c r="B20" s="6" t="n">
        <v>0.16</v>
      </c>
      <c r="C20" s="6" t="n">
        <v>0.17</v>
      </c>
      <c r="D20" s="6" t="n">
        <v>0.17</v>
      </c>
      <c r="E20" s="6" t="n">
        <v>0.175</v>
      </c>
      <c r="F20" s="6" t="n">
        <v>0.175</v>
      </c>
      <c r="G20" s="6" t="n">
        <v>0.175</v>
      </c>
      <c r="H20" s="2" t="inlineStr"/>
    </row>
    <row r="21">
      <c r="A21" s="5" t="inlineStr">
        <is>
          <t>Net working capital % of revenue</t>
        </is>
      </c>
      <c r="B21" s="6" t="n">
        <v>0.115</v>
      </c>
      <c r="C21" s="6" t="n">
        <v>0.11</v>
      </c>
      <c r="D21" s="6" t="n">
        <v>0.105</v>
      </c>
      <c r="E21" s="6" t="n">
        <v>0.1</v>
      </c>
      <c r="F21" s="6" t="n">
        <v>0.095</v>
      </c>
      <c r="G21" s="6" t="n">
        <v>0.09</v>
      </c>
      <c r="H21" s="2" t="inlineStr"/>
    </row>
    <row r="23">
      <c r="A23" s="5" t="inlineStr">
        <is>
          <t>Base year revenue by segment ($)</t>
        </is>
      </c>
    </row>
    <row r="24">
      <c r="A24" t="inlineStr">
        <is>
          <t xml:space="preserve">   Data Center</t>
        </is>
      </c>
      <c r="B24" s="7" t="n">
        <v>193737000000</v>
      </c>
    </row>
    <row r="25">
      <c r="A25" t="inlineStr">
        <is>
          <t xml:space="preserve">   Gaming</t>
        </is>
      </c>
      <c r="B25" s="7" t="n">
        <v>16042000000</v>
      </c>
    </row>
    <row r="26">
      <c r="A26" t="inlineStr">
        <is>
          <t xml:space="preserve">   Professional Visualization</t>
        </is>
      </c>
      <c r="B26" s="7" t="n">
        <v>3191000000</v>
      </c>
    </row>
    <row r="27">
      <c r="A27" t="inlineStr">
        <is>
          <t xml:space="preserve">   Automotive</t>
        </is>
      </c>
      <c r="B27" s="7" t="n">
        <v>2349000000</v>
      </c>
    </row>
    <row r="28">
      <c r="A28" t="inlineStr">
        <is>
          <t xml:space="preserve">   OEM &amp; other</t>
        </is>
      </c>
      <c r="B28" s="7" t="n">
        <v>619000000</v>
      </c>
    </row>
    <row r="30">
      <c r="A30" s="5" t="inlineStr">
        <is>
          <t>WACC</t>
        </is>
      </c>
      <c r="B30" s="8" t="n">
        <v>0.0975</v>
      </c>
      <c r="H30" s="2" t="inlineStr">
        <is>
          <t>Single definition. Every sheet references this cell — there is no override.</t>
        </is>
      </c>
    </row>
    <row r="31">
      <c r="A31" s="5" t="inlineStr">
        <is>
          <t>Terminal growth</t>
        </is>
      </c>
      <c r="B31" s="8" t="n">
        <v>0.03</v>
      </c>
    </row>
    <row r="32">
      <c r="A32" s="5" t="inlineStr">
        <is>
          <t>Diluted shares</t>
        </is>
      </c>
      <c r="B32" s="9" t="n">
        <v>24391000000</v>
      </c>
    </row>
    <row r="33">
      <c r="A33" s="5" t="inlineStr">
        <is>
          <t>Cash &amp; marketable securities</t>
        </is>
      </c>
      <c r="B33" s="7" t="n">
        <v>52470000000</v>
      </c>
    </row>
    <row r="34">
      <c r="A34" s="5" t="inlineStr">
        <is>
          <t>Equity investments (stakes)</t>
        </is>
      </c>
      <c r="B34" s="7" t="n">
        <v>72573000000</v>
      </c>
    </row>
    <row r="35">
      <c r="A35" s="5" t="inlineStr">
        <is>
          <t>Debt</t>
        </is>
      </c>
      <c r="B35" s="7" t="n">
        <v>8470000000</v>
      </c>
    </row>
    <row r="36">
      <c r="A36" s="5" t="inlineStr">
        <is>
          <t>Operating leases</t>
        </is>
      </c>
      <c r="B36" s="7" t="n">
        <v>4344000000</v>
      </c>
    </row>
    <row r="37">
      <c r="A37" s="5" t="inlineStr">
        <is>
          <t>Preferred stock</t>
        </is>
      </c>
      <c r="B37" s="7" t="n">
        <v>0</v>
      </c>
    </row>
    <row r="38">
      <c r="A38" s="5" t="inlineStr">
        <is>
          <t>Spot price</t>
        </is>
      </c>
      <c r="B38" s="10" t="n">
        <v>223.9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t="inlineStr">
        <is>
          <t>Data Center</t>
        </is>
      </c>
      <c r="B4" s="11">
        <f>Drivers!$B$24*(1+Drivers!B$6)*(1+Drivers!B$7)*(1+Drivers!B$8)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Gaming</t>
        </is>
      </c>
      <c r="B5" s="11">
        <f>Drivers!$B$25*(1+Drivers!B$10)</f>
        <v/>
      </c>
      <c r="C5" s="11">
        <f>B5*(1+Drivers!C$10)</f>
        <v/>
      </c>
      <c r="D5" s="11">
        <f>C5*(1+Drivers!D$10)</f>
        <v/>
      </c>
      <c r="E5" s="11">
        <f>D5*(1+Drivers!E$10)</f>
        <v/>
      </c>
      <c r="F5" s="11">
        <f>E5*(1+Drivers!F$10)</f>
        <v/>
      </c>
      <c r="G5" s="11">
        <f>F5*(1+Drivers!G$10)</f>
        <v/>
      </c>
    </row>
    <row r="6">
      <c r="A6" t="inlineStr">
        <is>
          <t>Professional Visualization</t>
        </is>
      </c>
      <c r="B6" s="11">
        <f>Drivers!$B$26*(1+Drivers!B$12)</f>
        <v/>
      </c>
      <c r="C6" s="11">
        <f>B6*(1+Drivers!C$12)</f>
        <v/>
      </c>
      <c r="D6" s="11">
        <f>C6*(1+Drivers!D$12)</f>
        <v/>
      </c>
      <c r="E6" s="11">
        <f>D6*(1+Drivers!E$12)</f>
        <v/>
      </c>
      <c r="F6" s="11">
        <f>E6*(1+Drivers!F$12)</f>
        <v/>
      </c>
      <c r="G6" s="11">
        <f>F6*(1+Drivers!G$12)</f>
        <v/>
      </c>
    </row>
    <row r="7">
      <c r="A7" t="inlineStr">
        <is>
          <t>Automotive</t>
        </is>
      </c>
      <c r="B7" s="11">
        <f>Drivers!$B$27*(1+Drivers!B$14)</f>
        <v/>
      </c>
      <c r="C7" s="11">
        <f>B7*(1+Drivers!C$14)</f>
        <v/>
      </c>
      <c r="D7" s="11">
        <f>C7*(1+Drivers!D$14)</f>
        <v/>
      </c>
      <c r="E7" s="11">
        <f>D7*(1+Drivers!E$14)</f>
        <v/>
      </c>
      <c r="F7" s="11">
        <f>E7*(1+Drivers!F$14)</f>
        <v/>
      </c>
      <c r="G7" s="11">
        <f>F7*(1+Drivers!G$14)</f>
        <v/>
      </c>
    </row>
    <row r="8">
      <c r="A8" t="inlineStr">
        <is>
          <t>OEM &amp; other</t>
        </is>
      </c>
      <c r="B8" s="11">
        <f>Drivers!$B$28*(1+Drivers!B$16)</f>
        <v/>
      </c>
      <c r="C8" s="11">
        <f>B8*(1+Drivers!C$16)</f>
        <v/>
      </c>
      <c r="D8" s="11">
        <f>C8*(1+Drivers!D$16)</f>
        <v/>
      </c>
      <c r="E8" s="11">
        <f>D8*(1+Drivers!E$16)</f>
        <v/>
      </c>
      <c r="F8" s="11">
        <f>E8*(1+Drivers!F$16)</f>
        <v/>
      </c>
      <c r="G8" s="11">
        <f>F8*(1+Drivers!G$16)</f>
        <v/>
      </c>
    </row>
    <row r="9">
      <c r="A9" s="5" t="inlineStr">
        <is>
          <t>Total revenue</t>
        </is>
      </c>
      <c r="B9" s="12">
        <f>SUM(B4:B8)</f>
        <v/>
      </c>
      <c r="C9" s="12">
        <f>SUM(C4:C8)</f>
        <v/>
      </c>
      <c r="D9" s="12">
        <f>SUM(D4:D8)</f>
        <v/>
      </c>
      <c r="E9" s="12">
        <f>SUM(E4:E8)</f>
        <v/>
      </c>
      <c r="F9" s="12">
        <f>SUM(F4:F8)</f>
        <v/>
      </c>
      <c r="G9" s="12">
        <f>SUM(G4:G8)</f>
        <v/>
      </c>
    </row>
    <row r="10">
      <c r="A10" t="inlineStr">
        <is>
          <t>Growth</t>
        </is>
      </c>
      <c r="B10" s="13">
        <f>B9/SUM(Drivers!$B$24:$B$28)-1</f>
        <v/>
      </c>
      <c r="C10" s="13">
        <f>C9/B9-1</f>
        <v/>
      </c>
      <c r="D10" s="13">
        <f>D9/C9-1</f>
        <v/>
      </c>
      <c r="E10" s="13">
        <f>E9/D9-1</f>
        <v/>
      </c>
      <c r="F10" s="13">
        <f>F9/E9-1</f>
        <v/>
      </c>
      <c r="G10" s="13">
        <f>G9/F9-1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60% short-lived (5yr) / 40% long-lived (20yr),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</row>
    <row r="5">
      <c r="A5" t="inlineStr">
        <is>
          <t>Capex ($)</t>
        </is>
      </c>
      <c r="B5" s="11">
        <f>Revenue!B9*Drivers!B$19</f>
        <v/>
      </c>
      <c r="C5" s="11">
        <f>Revenue!C9*Drivers!C$19</f>
        <v/>
      </c>
      <c r="D5" s="11">
        <f>Revenue!D9*Drivers!D$19</f>
        <v/>
      </c>
      <c r="E5" s="11">
        <f>Revenue!E9*Drivers!E$19</f>
        <v/>
      </c>
      <c r="F5" s="11">
        <f>Revenue!F9*Drivers!F$19</f>
        <v/>
      </c>
      <c r="G5" s="11">
        <f>Revenue!G9*Drivers!G$19</f>
        <v/>
      </c>
    </row>
    <row r="6">
      <c r="A6" s="5" t="inlineStr">
        <is>
          <t>D&amp;A ($) — modelled</t>
        </is>
      </c>
      <c r="B6" s="14" t="n">
        <v>1947960000</v>
      </c>
      <c r="C6" s="14" t="n">
        <v>3276456990.413567</v>
      </c>
      <c r="D6" s="14" t="n">
        <v>5663514683.839273</v>
      </c>
      <c r="E6" s="14" t="n">
        <v>8803421410.69178</v>
      </c>
      <c r="F6" s="14" t="n">
        <v>12290139814.34066</v>
      </c>
      <c r="G6" s="14" t="n">
        <v>15739286869.89084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B6/Revenue!B9</f>
        <v/>
      </c>
      <c r="C7" s="13">
        <f>C6/Revenue!C9</f>
        <v/>
      </c>
      <c r="D7" s="13">
        <f>D6/Revenue!D9</f>
        <v/>
      </c>
      <c r="E7" s="13">
        <f>E6/Revenue!E9</f>
        <v/>
      </c>
      <c r="F7" s="13">
        <f>F6/Revenue!F9</f>
        <v/>
      </c>
      <c r="G7" s="13">
        <f>G6/Revenue!G9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NVDA — unlevered FCFF DCF, mid-year convention</t>
        </is>
      </c>
    </row>
    <row r="3">
      <c r="A3" s="3" t="inlineStr">
        <is>
          <t>Line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s="16" t="inlineStr">
        <is>
          <t>Revenue</t>
        </is>
      </c>
      <c r="B4" s="11">
        <f>Revenue!B9</f>
        <v/>
      </c>
      <c r="C4" s="11">
        <f>Revenue!C9</f>
        <v/>
      </c>
      <c r="D4" s="11">
        <f>Revenue!D9</f>
        <v/>
      </c>
      <c r="E4" s="11">
        <f>Revenue!E9</f>
        <v/>
      </c>
      <c r="F4" s="11">
        <f>Revenue!F9</f>
        <v/>
      </c>
      <c r="G4" s="11">
        <f>Revenue!G9</f>
        <v/>
      </c>
    </row>
    <row r="5">
      <c r="A5" s="16" t="inlineStr">
        <is>
          <t>EBITDA margin</t>
        </is>
      </c>
      <c r="B5" s="13">
        <f>Drivers!B$18</f>
        <v/>
      </c>
      <c r="C5" s="13">
        <f>Drivers!C$18</f>
        <v/>
      </c>
      <c r="D5" s="13">
        <f>Drivers!D$18</f>
        <v/>
      </c>
      <c r="E5" s="13">
        <f>Drivers!E$18</f>
        <v/>
      </c>
      <c r="F5" s="13">
        <f>Drivers!F$18</f>
        <v/>
      </c>
      <c r="G5" s="13">
        <f>Drivers!G$18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Drivers!B$20</f>
        <v/>
      </c>
      <c r="C10" s="13">
        <f>Drivers!C$20</f>
        <v/>
      </c>
      <c r="D10" s="13">
        <f>Drivers!D$20</f>
        <v/>
      </c>
      <c r="E10" s="13">
        <f>Drivers!E$20</f>
        <v/>
      </c>
      <c r="F10" s="13">
        <f>Drivers!F$20</f>
        <v/>
      </c>
      <c r="G10" s="13">
        <f>Drivers!G$20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B4*Drivers!B$21</f>
        <v/>
      </c>
      <c r="C13" s="11">
        <f>C4*Drivers!C$21</f>
        <v/>
      </c>
      <c r="D13" s="11">
        <f>D4*Drivers!D$21</f>
        <v/>
      </c>
      <c r="E13" s="11">
        <f>E4*Drivers!E$21</f>
        <v/>
      </c>
      <c r="F13" s="11">
        <f>F4*Drivers!F$21</f>
        <v/>
      </c>
      <c r="G13" s="11">
        <f>G4*Drivers!G$21</f>
        <v/>
      </c>
    </row>
    <row r="14">
      <c r="A14" s="16" t="inlineStr">
        <is>
          <t>Change in NWC</t>
        </is>
      </c>
      <c r="B14" s="11">
        <f>B13-SUM(Drivers!$B$24:$B$28)*Drivers!$B$21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1/(1+Drivers!$B$30)^(0+0.5)</f>
        <v/>
      </c>
      <c r="C16" s="17">
        <f>1/(1+Drivers!$B$30)^(1+0.5)</f>
        <v/>
      </c>
      <c r="D16" s="17">
        <f>1/(1+Drivers!$B$30)^(2+0.5)</f>
        <v/>
      </c>
      <c r="E16" s="17">
        <f>1/(1+Drivers!$B$30)^(3+0.5)</f>
        <v/>
      </c>
      <c r="F16" s="17">
        <f>1/(1+Drivers!$B$30)^(4+0.5)</f>
        <v/>
      </c>
      <c r="G16" s="17">
        <f>1/(1+Drivers!$B$30)^(5+0.5)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G15*(1+Drivers!$B$31)/(Drivers!$B$30-Drivers!$B$31)</f>
        <v/>
      </c>
    </row>
    <row r="21">
      <c r="A21" s="5" t="inlineStr">
        <is>
          <t>PV of terminal value</t>
        </is>
      </c>
      <c r="B21" s="11">
        <f>B20/(1+Drivers!$B$30)^(6-0.5)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Drivers!$B$33</f>
        <v/>
      </c>
    </row>
    <row r="24">
      <c r="A24" s="5" t="inlineStr">
        <is>
          <t>+ Equity investments</t>
        </is>
      </c>
      <c r="B24" s="11">
        <f>Drivers!$B$34</f>
        <v/>
      </c>
    </row>
    <row r="25">
      <c r="A25" s="5" t="inlineStr">
        <is>
          <t>- Debt</t>
        </is>
      </c>
      <c r="B25" s="11">
        <f>-Drivers!$B$35</f>
        <v/>
      </c>
    </row>
    <row r="26">
      <c r="A26" s="5" t="inlineStr">
        <is>
          <t>- Operating leases</t>
        </is>
      </c>
      <c r="B26" s="11">
        <f>-Drivers!$B$36</f>
        <v/>
      </c>
    </row>
    <row r="27">
      <c r="A27" s="5" t="inlineStr">
        <is>
          <t>- Preferred stock</t>
        </is>
      </c>
      <c r="B27" s="11">
        <f>-Drivers!$B$37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B28/Drivers!$B$32</f>
        <v/>
      </c>
    </row>
    <row r="30">
      <c r="A30" s="5" t="inlineStr">
        <is>
          <t>Spot price</t>
        </is>
      </c>
      <c r="B30" s="19">
        <f>Drivers!$B$38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Drivers!$B$30-Drivers!$B$31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2026-08-07.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2027</v>
      </c>
      <c r="B5" s="11" t="n">
        <v>380878301536</v>
      </c>
      <c r="C5" s="11" t="n">
        <v>393652880225</v>
      </c>
      <c r="D5" s="11" t="n">
        <v>364351823875</v>
      </c>
      <c r="E5" s="11" t="n">
        <v>402782772175</v>
      </c>
      <c r="F5" s="13" t="n">
        <v>-0.03245137869103976</v>
      </c>
      <c r="G5" t="n">
        <v>40</v>
      </c>
      <c r="H5" t="inlineStr">
        <is>
          <t>yes</t>
        </is>
      </c>
    </row>
    <row r="6">
      <c r="A6" t="n">
        <v>2028</v>
      </c>
      <c r="B6" s="11" t="n">
        <v>551876795946.3745</v>
      </c>
      <c r="C6" s="11" t="n">
        <v>563601060724</v>
      </c>
      <c r="D6" s="11" t="n">
        <v>455017083948</v>
      </c>
      <c r="E6" s="11" t="n">
        <v>622629236167</v>
      </c>
      <c r="F6" s="13" t="n">
        <v>-0.02080241787083326</v>
      </c>
      <c r="G6" t="n">
        <v>40</v>
      </c>
      <c r="H6" t="inlineStr">
        <is>
          <t>yes</t>
        </is>
      </c>
    </row>
    <row r="7">
      <c r="A7" t="n">
        <v>2029</v>
      </c>
      <c r="B7" s="11" t="n">
        <v>698958783499.2484</v>
      </c>
      <c r="C7" s="11" t="n">
        <v>686664195152</v>
      </c>
      <c r="D7" s="11" t="n">
        <v>596627356477</v>
      </c>
      <c r="E7" s="11" t="n">
        <v>786033442151</v>
      </c>
      <c r="F7" s="13" t="n">
        <v>0.01790480475616896</v>
      </c>
      <c r="G7" t="n">
        <v>27</v>
      </c>
      <c r="H7" t="inlineStr">
        <is>
          <t>yes</t>
        </is>
      </c>
    </row>
    <row r="8">
      <c r="A8" t="n">
        <v>2030</v>
      </c>
      <c r="B8" s="11" t="n">
        <v>805463683200.1494</v>
      </c>
      <c r="C8" s="11" t="n">
        <v>774228304289</v>
      </c>
      <c r="D8" s="11" t="n">
        <v>645938678105</v>
      </c>
      <c r="E8" s="11" t="n">
        <v>885198235337</v>
      </c>
      <c r="F8" s="13" t="n">
        <v>0.04034388660052146</v>
      </c>
      <c r="G8" t="n">
        <v>13</v>
      </c>
      <c r="H8" t="inlineStr">
        <is>
          <t>yes</t>
        </is>
      </c>
    </row>
    <row r="9">
      <c r="A9" t="n">
        <v>2031</v>
      </c>
      <c r="B9" s="11" t="n">
        <v>862584644819.8027</v>
      </c>
      <c r="C9" s="11" t="n">
        <v>1005000000000</v>
      </c>
      <c r="D9" s="11" t="n">
        <v>838471504981</v>
      </c>
      <c r="E9" s="11" t="n">
        <v>1149046375062</v>
      </c>
      <c r="F9" s="13" t="n">
        <v>-0.1417068210748231</v>
      </c>
      <c r="G9" t="n">
        <v>21</v>
      </c>
      <c r="H9" t="inlineStr">
        <is>
          <t>yes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NVDA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67.39430983648519</v>
      </c>
      <c r="C4" s="13" t="n">
        <v>0.25</v>
      </c>
      <c r="D4" s="13">
        <f>B4/Valuation!B30-1</f>
        <v/>
      </c>
      <c r="E4" t="inlineStr">
        <is>
          <t>historical base rate</t>
        </is>
      </c>
    </row>
    <row r="5">
      <c r="A5" t="inlineStr">
        <is>
          <t>Base</t>
        </is>
      </c>
      <c r="B5" s="19" t="n">
        <v>197.3890110737761</v>
      </c>
      <c r="C5" s="13" t="n">
        <v>0.5</v>
      </c>
      <c r="D5" s="13">
        <f>B5/Valuation!B30-1</f>
        <v/>
      </c>
      <c r="E5" t="inlineStr">
        <is>
          <t>consensus dispersion</t>
        </is>
      </c>
    </row>
    <row r="6">
      <c r="A6" t="inlineStr">
        <is>
          <t>Bull</t>
        </is>
      </c>
      <c r="B6" s="19" t="n">
        <v>437.4700917678697</v>
      </c>
      <c r="C6" s="13" t="n">
        <v>0.25</v>
      </c>
      <c r="D6" s="13">
        <f>B6/Valuation!B30-1</f>
        <v/>
      </c>
      <c r="E6" t="inlineStr">
        <is>
          <t>judgment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NO POSITION</t>
        </is>
      </c>
    </row>
    <row r="10">
      <c r="A10" s="16" t="inlineStr">
        <is>
          <t>Scenario expected value</t>
        </is>
      </c>
      <c r="B10" s="19" t="n">
        <v>224.9106059379768</v>
      </c>
      <c r="E10" s="2" t="inlineStr">
        <is>
          <t>illustrative probability-weighted arithmetic</t>
        </is>
      </c>
    </row>
    <row r="11">
      <c r="A11" s="5" t="inlineStr">
        <is>
          <t>Position size</t>
        </is>
      </c>
      <c r="B11" s="22" t="n">
        <v>0</v>
      </c>
      <c r="E11" s="2" t="inlineStr">
        <is>
          <t>no capital recommendation</t>
        </is>
      </c>
    </row>
    <row r="12">
      <c r="A12" s="16" t="inlineStr">
        <is>
          <t>Binding constraint</t>
        </is>
      </c>
      <c r="B12" t="inlineStr">
        <is>
          <t>implementation evidence missing</t>
        </is>
      </c>
      <c r="E12" s="2" t="inlineStr">
        <is>
          <t>implementation inputs missing</t>
        </is>
      </c>
    </row>
    <row r="14">
      <c r="A14" s="2" t="inlineStr">
        <is>
          <t>Basis: no capital recommendation; implementation inputs missing.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3" t="inlineStr">
        <is>
          <t>Base year: trailing twelve months to 2026-04-26, all statement inputs from SEC XBRL companyconcept (CIK 0001045810).</t>
        </is>
      </c>
    </row>
    <row r="4">
      <c r="A4" s="23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3" t="inlineStr">
        <is>
          <t>Consensus estimates and price targets: FMP analyst/financial-estimates and analyst/price-target-consensus, retrieved 2026-08-07.</t>
        </is>
      </c>
    </row>
    <row r="6">
      <c r="A6" s="23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3" t="inlineStr"/>
    </row>
    <row r="8">
      <c r="A8" s="23" t="inlineStr">
        <is>
          <t>YEAR-1 CAPEX ANCHOR. No capex guidance is published for this filer, so year 1 is $1.8bn reported plus 3 quarter(s) at the $1.8bn exit rate, giving $7.0bn.</t>
        </is>
      </c>
    </row>
    <row r="9">
      <c r="A9" s="23" t="inlineStr"/>
    </row>
    <row r="10">
      <c r="A10" s="23" t="inlineStr">
        <is>
          <t>YEAR-1 SEGMENT ANCHOR. No quarterly segment actuals are recorded for this filer, so year-1 segment revenue is checked only at the consolidated level.</t>
        </is>
      </c>
    </row>
    <row r="11">
      <c r="A11" s="23" t="inlineStr"/>
    </row>
    <row r="12">
      <c r="A12" s="23" t="inlineStr">
        <is>
          <t>DISCOUNT RATE. WACC is an input cell on Drivers and every discounted line references it, so changing it here re-values the model. It is worth knowing what that is worth: terminal value is 71% of enterprise value, the base case discounts at 9.75% giving $197.39, published third-party WACC estimates cluster near 7.57% giving $290.14, and the reverse DCF implies the market is discounting at 8.94%. The discount rate moves this valuation more than the depreciation schedule does.</t>
        </is>
      </c>
    </row>
    <row r="13">
      <c r="A13" s="23" t="inlineStr"/>
    </row>
    <row r="14">
      <c r="A14" s="23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15">
      <c r="A15" s="23" t="inlineStr"/>
    </row>
    <row r="16">
      <c r="A16" s="23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7">
      <c r="A17" s="23" t="inlineStr"/>
    </row>
    <row r="18">
      <c r="A18" s="23" t="inlineStr">
        <is>
          <t>This is analytical research on public information. Not investment advice, not a recommendation to any person, and not a solicitation. No percentage sizing is provided without implementation and portfolio inputs.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2026-08-08T17:51:31Z</dcterms:created>
  <dcterms:modified xsi:type="dcterms:W3CDTF">2026-08-08T17:51:31Z</dcterms:modified>
</cp:coreProperties>
</file>