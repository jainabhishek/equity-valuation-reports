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0.03</v>
      </c>
      <c r="C19" s="6" t="n">
        <v>0.032</v>
      </c>
      <c r="D19" s="6" t="n">
        <v>0.034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Spot price</t>
        </is>
      </c>
      <c r="B37" s="10" t="n">
        <v>211.94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2255844433.2256</v>
      </c>
      <c r="C6" s="14" t="n">
        <v>4159892889.371079</v>
      </c>
      <c r="D6" s="14" t="n">
        <v>6927618817.01917</v>
      </c>
      <c r="E6" s="14" t="n">
        <v>10180526745.58775</v>
      </c>
      <c r="F6" s="14" t="n">
        <v>13667245149.23663</v>
      </c>
      <c r="G6" s="14" t="n">
        <v>16588590319.25721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Equity value</t>
        </is>
      </c>
      <c r="B27" s="11">
        <f>B22+B23+B24+B25+B26</f>
        <v/>
      </c>
    </row>
    <row r="28">
      <c r="A28" s="5" t="inlineStr">
        <is>
          <t>Value per share</t>
        </is>
      </c>
      <c r="B28" s="18">
        <f>B27/Drivers!$B$32</f>
        <v/>
      </c>
    </row>
    <row r="29">
      <c r="A29" s="5" t="inlineStr">
        <is>
          <t>Spot price</t>
        </is>
      </c>
      <c r="B29" s="19">
        <f>Drivers!$B$37</f>
        <v/>
      </c>
    </row>
    <row r="30">
      <c r="A30" s="5" t="inlineStr">
        <is>
          <t>Upside / (downside)</t>
        </is>
      </c>
      <c r="B30" s="13">
        <f>B28/B29-1</f>
        <v/>
      </c>
    </row>
    <row r="31">
      <c r="A31" s="5" t="inlineStr">
        <is>
          <t>Terminal value % of EV</t>
        </is>
      </c>
      <c r="B31" s="13">
        <f>B21/B22</f>
        <v/>
      </c>
    </row>
    <row r="33">
      <c r="A33" s="2" t="inlineStr">
        <is>
          <t>Sanity check: WACC minus terminal growth should exceed 150bp.</t>
        </is>
      </c>
    </row>
    <row r="34">
      <c r="A34" t="inlineStr">
        <is>
          <t>WACC - g</t>
        </is>
      </c>
      <c r="B34" s="20">
        <f>Drivers!$B$30-Drivers!$B$31</f>
        <v/>
      </c>
      <c r="C34">
        <f>IF(B34&gt;0.015,"OK","FAIL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2026-08-05.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393421082449</v>
      </c>
      <c r="D5" s="11" t="n">
        <v>364137279674</v>
      </c>
      <c r="E5" s="11" t="n">
        <v>402545598372</v>
      </c>
      <c r="F5" s="13" t="n">
        <v>-0.0318813136167555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562864133910</v>
      </c>
      <c r="D6" s="11" t="n">
        <v>454422134234</v>
      </c>
      <c r="E6" s="11" t="n">
        <v>621815128083</v>
      </c>
      <c r="F6" s="13" t="n">
        <v>-0.01952040874820127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684573570460</v>
      </c>
      <c r="D7" s="11" t="n">
        <v>596685287724</v>
      </c>
      <c r="E7" s="11" t="n">
        <v>786109764326</v>
      </c>
      <c r="F7" s="13" t="n">
        <v>0.02101339236567701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646708625745</v>
      </c>
      <c r="E8" s="11" t="n">
        <v>886253376196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839470948392</v>
      </c>
      <c r="E9" s="11" t="n">
        <v>1150416018302</v>
      </c>
      <c r="F9" s="13" t="n">
        <v>-0.1417068210748231</v>
      </c>
      <c r="G9" t="n">
        <v>22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67.19058784732638</v>
      </c>
      <c r="C4" s="13" t="n">
        <v>0.25</v>
      </c>
      <c r="D4" s="13">
        <f>B4/Valuation!B29-1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197.1153741604705</v>
      </c>
      <c r="C5" s="13" t="n">
        <v>0.5</v>
      </c>
      <c r="D5" s="13">
        <f>B5/Valuation!B29-1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437.1356049020856</v>
      </c>
      <c r="C6" s="13" t="n">
        <v>0.25</v>
      </c>
      <c r="D6" s="13">
        <f>B6/Valuation!B29-1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B7/Valuation!B29-1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Risk / reward</t>
        </is>
      </c>
      <c r="B10" s="22" t="n">
        <v>0.08773255157812872</v>
      </c>
      <c r="E10" s="2" t="inlineStr">
        <is>
          <t>long framing</t>
        </is>
      </c>
    </row>
    <row r="11">
      <c r="A11" s="16" t="inlineStr">
        <is>
          <t>Payoff ratio b</t>
        </is>
      </c>
      <c r="B11" s="22" t="n">
        <v>0.08773255157812872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0.75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-2.099569464275375</v>
      </c>
      <c r="E13" s="2" t="inlineStr"/>
    </row>
    <row r="14">
      <c r="A14" s="16" t="inlineStr">
        <is>
          <t>Quarter-Kelly</t>
        </is>
      </c>
      <c r="B14" s="13" t="n">
        <v>0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41.8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0.02196278349404875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</v>
      </c>
      <c r="E18" s="2" t="inlineStr">
        <is>
          <t>binding: quarter-Kelly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2026-04-26, all statement inputs from SEC XBRL companyconcept (CIK 0001045810).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2026-08-05.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9">
      <c r="A9" s="24" t="inlineStr"/>
    </row>
    <row r="10">
      <c r="A10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1">
      <c r="A11" s="24" t="inlineStr"/>
    </row>
    <row r="12">
      <c r="A12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2026-08-05T20:00:09Z</dcterms:created>
  <dcterms:modified xsi:type="dcterms:W3CDTF">2026-08-05T20:00:09Z</dcterms:modified>
</cp:coreProperties>
</file>