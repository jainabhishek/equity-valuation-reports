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shboard" sheetId="1" state="visible" r:id="rId3"/>
    <sheet name="Cover" sheetId="2" state="visible" r:id="rId4"/>
    <sheet name="Executive Summary" sheetId="3" state="visible" r:id="rId5"/>
    <sheet name="Control Panel" sheetId="4" state="visible" r:id="rId6"/>
    <sheet name="Historical Financials" sheetId="5" state="visible" r:id="rId7"/>
    <sheet name="Revenue Build" sheetId="6" state="visible" r:id="rId8"/>
    <sheet name="Margin Cost Build" sheetId="7" state="visible" r:id="rId9"/>
    <sheet name="Working Capital" sheetId="8" state="visible" r:id="rId10"/>
    <sheet name="Capex D&amp;A" sheetId="9" state="visible" r:id="rId11"/>
    <sheet name="Tax Schedule" sheetId="10" state="visible" r:id="rId12"/>
    <sheet name="Unlevered FCF" sheetId="11" state="visible" r:id="rId13"/>
    <sheet name="WACC" sheetId="12" state="visible" r:id="rId14"/>
    <sheet name="Terminal Value" sheetId="13" state="visible" r:id="rId15"/>
    <sheet name="DCF Valuation" sheetId="14" state="visible" r:id="rId16"/>
    <sheet name="Sensitivities" sheetId="15" state="visible" r:id="rId17"/>
    <sheet name="Checks" sheetId="16" state="visible" r:id="rId18"/>
    <sheet name="Source Notes" sheetId="17" state="visible" r:id="rId19"/>
  </sheets>
  <definedNames>
    <definedName function="false" hidden="false" localSheetId="0" name="_xlnm.Print_Area" vbProcedure="false">Dashboard!$A$1:$J$20</definedName>
    <definedName function="false" hidden="true" localSheetId="0" name="_xlnm._FilterDatabase" vbProcedure="false">Dashboard!$A$8:$D$15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<sst xmlns="http://schemas.openxmlformats.org/spreadsheetml/2006/main" count="699" uniqueCount="359">
  <si>
    <t xml:space="preserve">Nvidia — Intrinsic Value Dashboard</t>
  </si>
  <si>
    <t xml:space="preserve">Calculation integrity</t>
  </si>
  <si>
    <t xml:space="preserve">Formula workbook; recalculated and error-scanned in the run log</t>
  </si>
  <si>
    <t xml:space="preserve">Decision readiness</t>
  </si>
  <si>
    <t xml:space="preserve">SCREEN-GRADE — public actuals plus analyst forecast/WACC assumptions</t>
  </si>
  <si>
    <t xml:space="preserve">Valuation date</t>
  </si>
  <si>
    <t xml:space="preserve">2026-08-04</t>
  </si>
  <si>
    <t xml:space="preserve">Core method</t>
  </si>
  <si>
    <t xml:space="preserve">6-year FCFF, mid-year convention, Gordon growth</t>
  </si>
  <si>
    <t xml:space="preserve">Current price</t>
  </si>
  <si>
    <t xml:space="preserve">Current price source</t>
  </si>
  <si>
    <t xml:space="preserve">https://stockanalysis.com/stocks/nvda/</t>
  </si>
  <si>
    <t xml:space="preserve">Downside</t>
  </si>
  <si>
    <t xml:space="preserve">Base</t>
  </si>
  <si>
    <t xml:space="preserve">Upside</t>
  </si>
  <si>
    <t xml:space="preserve">WACC</t>
  </si>
  <si>
    <t xml:space="preserve">Terminal growth</t>
  </si>
  <si>
    <t xml:space="preserve">Revenue CAGR</t>
  </si>
  <si>
    <t xml:space="preserve">Enterprise value</t>
  </si>
  <si>
    <t xml:space="preserve">Value per share</t>
  </si>
  <si>
    <t xml:space="preserve">Premium / (discount)</t>
  </si>
  <si>
    <t xml:space="preserve">Terminal value / EV</t>
  </si>
  <si>
    <t xml:space="preserve">Reverse DCF</t>
  </si>
  <si>
    <t xml:space="preserve">Uniform growth uplift vs base</t>
  </si>
  <si>
    <t xml:space="preserve">Market-implied six-year revenue CAGR</t>
  </si>
  <si>
    <t xml:space="preserve">Reverse-DCF value per share</t>
  </si>
  <si>
    <t xml:space="preserve">Revenue growth</t>
  </si>
  <si>
    <t xml:space="preserve">Revenue</t>
  </si>
  <si>
    <t xml:space="preserve">EBIT margin</t>
  </si>
  <si>
    <t xml:space="preserve">EBIT</t>
  </si>
  <si>
    <t xml:space="preserve">Tax rate</t>
  </si>
  <si>
    <t xml:space="preserve">NOPAT</t>
  </si>
  <si>
    <t xml:space="preserve">D&amp;A / revenue</t>
  </si>
  <si>
    <t xml:space="preserve">D&amp;A</t>
  </si>
  <si>
    <t xml:space="preserve">Capex / revenue</t>
  </si>
  <si>
    <t xml:space="preserve">Capex</t>
  </si>
  <si>
    <t xml:space="preserve">NWC / revenue</t>
  </si>
  <si>
    <t xml:space="preserve">NWC</t>
  </si>
  <si>
    <t xml:space="preserve">Change in NWC</t>
  </si>
  <si>
    <t xml:space="preserve">FCFF</t>
  </si>
  <si>
    <t xml:space="preserve">Discount period</t>
  </si>
  <si>
    <t xml:space="preserve">PV of FCFF</t>
  </si>
  <si>
    <t xml:space="preserve">Terminal FCFF</t>
  </si>
  <si>
    <t xml:space="preserve">Terminal value</t>
  </si>
  <si>
    <t xml:space="preserve">PV of terminal value</t>
  </si>
  <si>
    <t xml:space="preserve">PV of explicit FCFF</t>
  </si>
  <si>
    <t xml:space="preserve">Net debt</t>
  </si>
  <si>
    <t xml:space="preserve">Minority interest</t>
  </si>
  <si>
    <t xml:space="preserve">Preferred stock</t>
  </si>
  <si>
    <t xml:space="preserve">Non-operating assets</t>
  </si>
  <si>
    <t xml:space="preserve">Other equity adjustments</t>
  </si>
  <si>
    <t xml:space="preserve">Equity value</t>
  </si>
  <si>
    <t xml:space="preserve">Diluted shares</t>
  </si>
  <si>
    <t xml:space="preserve">Current share price</t>
  </si>
  <si>
    <t xml:space="preserve">DCF Banker Formula Workbook Template</t>
  </si>
  <si>
    <t xml:space="preserve">Workbook purpose</t>
  </si>
  <si>
    <t xml:space="preserve">Artifact mode</t>
  </si>
  <si>
    <t xml:space="preserve">banker_formula_workbook</t>
  </si>
  <si>
    <t xml:space="preserve">Generated timestamp</t>
  </si>
  <si>
    <t xml:space="preserve">2026-05-12T00:00:00+00:00</t>
  </si>
  <si>
    <t xml:space="preserve">Model status</t>
  </si>
  <si>
    <t xml:space="preserve">Template; not decision-ready until populated with source-backed company data</t>
  </si>
  <si>
    <t xml:space="preserve">Primary use</t>
  </si>
  <si>
    <t xml:space="preserve">Live Excel DCF workbook with formulas, sensitivities, checks, and source notes</t>
  </si>
  <si>
    <t xml:space="preserve">No macros</t>
  </si>
  <si>
    <t xml:space="preserve">Yes</t>
  </si>
  <si>
    <t xml:space="preserve">External links</t>
  </si>
  <si>
    <t xml:space="preserve">None expected; builder and tests validate this</t>
  </si>
  <si>
    <t xml:space="preserve">Navigation</t>
  </si>
  <si>
    <t xml:space="preserve">Executive Summary</t>
  </si>
  <si>
    <t xml:space="preserve">Control Panel</t>
  </si>
  <si>
    <t xml:space="preserve">Historical Financials</t>
  </si>
  <si>
    <t xml:space="preserve">Revenue Build</t>
  </si>
  <si>
    <t xml:space="preserve">Margin Cost Build</t>
  </si>
  <si>
    <t xml:space="preserve">Working Capital</t>
  </si>
  <si>
    <t xml:space="preserve">Capex D&amp;A</t>
  </si>
  <si>
    <t xml:space="preserve">Tax Schedule</t>
  </si>
  <si>
    <t xml:space="preserve">Unlevered FCF</t>
  </si>
  <si>
    <t xml:space="preserve">Terminal Value</t>
  </si>
  <si>
    <t xml:space="preserve">DCF Valuation</t>
  </si>
  <si>
    <t xml:space="preserve">Sensitivities</t>
  </si>
  <si>
    <t xml:space="preserve">Checks</t>
  </si>
  <si>
    <t xml:space="preserve">Source Notes</t>
  </si>
  <si>
    <t xml:space="preserve">Usage notes</t>
  </si>
  <si>
    <t xml:space="preserve">Note 1</t>
  </si>
  <si>
    <t xml:space="preserve">Populate Control Panel blue input cells first.</t>
  </si>
  <si>
    <t xml:space="preserve">Note 2</t>
  </si>
  <si>
    <t xml:space="preserve">Replace illustrative historicals and Source Notes with source-backed company data.</t>
  </si>
  <si>
    <t xml:space="preserve">Note 3</t>
  </si>
  <si>
    <t xml:space="preserve">Use Base/Downside/Upside scenario selection to flow assumptions through the model.</t>
  </si>
  <si>
    <t xml:space="preserve">Note 4</t>
  </si>
  <si>
    <t xml:space="preserve">Review Checks before using the workbook in an investment memo or committee process.</t>
  </si>
  <si>
    <t xml:space="preserve">Posture warning</t>
  </si>
  <si>
    <t xml:space="preserve">Company name</t>
  </si>
  <si>
    <t xml:space="preserve">Currency / units</t>
  </si>
  <si>
    <t xml:space="preserve">Implied share price</t>
  </si>
  <si>
    <t xml:space="preserve">Upside / downside</t>
  </si>
  <si>
    <t xml:space="preserve">Base case implied valuation</t>
  </si>
  <si>
    <t xml:space="preserve">Downside case valuation</t>
  </si>
  <si>
    <t xml:space="preserve">Upside case valuation</t>
  </si>
  <si>
    <t xml:space="preserve">Recommendation placeholder</t>
  </si>
  <si>
    <t xml:space="preserve">Key value drivers</t>
  </si>
  <si>
    <t xml:space="preserve">Forecast revenue CAGR</t>
  </si>
  <si>
    <t xml:space="preserve">Terminal EBITDA margin</t>
  </si>
  <si>
    <t xml:space="preserve">Selected WACC</t>
  </si>
  <si>
    <t xml:space="preserve">Terminal growth rate</t>
  </si>
  <si>
    <t xml:space="preserve">Terminal value % of EV</t>
  </si>
  <si>
    <t xml:space="preserve">Main risks and open diligence</t>
  </si>
  <si>
    <t xml:space="preserve">Risk 1</t>
  </si>
  <si>
    <t xml:space="preserve">Replace placeholder historicals with sourced financial statements.</t>
  </si>
  <si>
    <t xml:space="preserve">Risk 2</t>
  </si>
  <si>
    <t xml:space="preserve">Confirm WACC market inputs as of valuation date.</t>
  </si>
  <si>
    <t xml:space="preserve">Risk 3</t>
  </si>
  <si>
    <t xml:space="preserve">Validate terminal growth, exit multiple, and terminal ROIC support.</t>
  </si>
  <si>
    <t xml:space="preserve">Risk 4</t>
  </si>
  <si>
    <t xml:space="preserve">Review NOLs, SBC, leases, pensions, minorities, and debt-like items where material.</t>
  </si>
  <si>
    <t xml:space="preserve">Model identity and switches</t>
  </si>
  <si>
    <t xml:space="preserve">NVIDIA Corporation (NVDA)</t>
  </si>
  <si>
    <t xml:space="preserve">Currency</t>
  </si>
  <si>
    <t xml:space="preserve">USD</t>
  </si>
  <si>
    <t xml:space="preserve">Units</t>
  </si>
  <si>
    <t xml:space="preserve">$mm except per-share data</t>
  </si>
  <si>
    <t xml:space="preserve">screen-grade</t>
  </si>
  <si>
    <t xml:space="preserve">Workbook mode</t>
  </si>
  <si>
    <t xml:space="preserve">Scenario selection</t>
  </si>
  <si>
    <t xml:space="preserve">Mid-year convention</t>
  </si>
  <si>
    <t xml:space="preserve">Screen-grade only; placeholder assumptions used.</t>
  </si>
  <si>
    <t xml:space="preserve">Selected terminal value method</t>
  </si>
  <si>
    <t xml:space="preserve">Gordon Growth</t>
  </si>
  <si>
    <t xml:space="preserve">Other revenue growth factor</t>
  </si>
  <si>
    <t xml:space="preserve">Gross profit bridge / revenue</t>
  </si>
  <si>
    <t xml:space="preserve">Scenario assumptions</t>
  </si>
  <si>
    <t xml:space="preserve">Case / metric</t>
  </si>
  <si>
    <t xml:space="preserve">2027E</t>
  </si>
  <si>
    <t xml:space="preserve">2028E</t>
  </si>
  <si>
    <t xml:space="preserve">2029E</t>
  </si>
  <si>
    <t xml:space="preserve">2030E</t>
  </si>
  <si>
    <t xml:space="preserve">2031E</t>
  </si>
  <si>
    <t xml:space="preserve">2032E</t>
  </si>
  <si>
    <t xml:space="preserve">Revenue growth assumptions</t>
  </si>
  <si>
    <t xml:space="preserve">EBITDA margin assumptions</t>
  </si>
  <si>
    <t xml:space="preserve">EBIT margin reference assumptions</t>
  </si>
  <si>
    <t xml:space="preserve">D&amp;A % revenue assumptions</t>
  </si>
  <si>
    <t xml:space="preserve">Capex % revenue assumptions</t>
  </si>
  <si>
    <t xml:space="preserve">Operating NWC % revenue assumptions</t>
  </si>
  <si>
    <t xml:space="preserve">Book tax rate assumptions</t>
  </si>
  <si>
    <t xml:space="preserve">Cash tax rate assumptions</t>
  </si>
  <si>
    <t xml:space="preserve">Working-capital driver assumptions</t>
  </si>
  <si>
    <t xml:space="preserve">AR % revenue</t>
  </si>
  <si>
    <t xml:space="preserve">Inventory % revenue</t>
  </si>
  <si>
    <t xml:space="preserve">AP % revenue</t>
  </si>
  <si>
    <t xml:space="preserve">Other current assets % revenue</t>
  </si>
  <si>
    <t xml:space="preserve">Other current liabilities % revenue</t>
  </si>
  <si>
    <t xml:space="preserve">WACC inputs and selected WACC</t>
  </si>
  <si>
    <t xml:space="preserve">Risk-free rate</t>
  </si>
  <si>
    <t xml:space="preserve">Beta</t>
  </si>
  <si>
    <t xml:space="preserve">Market risk premium</t>
  </si>
  <si>
    <t xml:space="preserve">Size premium</t>
  </si>
  <si>
    <t xml:space="preserve">Pre-tax cost of debt</t>
  </si>
  <si>
    <t xml:space="preserve">Target debt / total capital</t>
  </si>
  <si>
    <t xml:space="preserve">Target equity / total capital</t>
  </si>
  <si>
    <t xml:space="preserve">Use WACC override?</t>
  </si>
  <si>
    <t xml:space="preserve">No</t>
  </si>
  <si>
    <t xml:space="preserve">WACC override</t>
  </si>
  <si>
    <t xml:space="preserve">External link status</t>
  </si>
  <si>
    <t xml:space="preserve">No external links</t>
  </si>
  <si>
    <t xml:space="preserve">Terminal value and EV-to-equity bridge</t>
  </si>
  <si>
    <t xml:space="preserve">Exit multiple</t>
  </si>
  <si>
    <t xml:space="preserve">Fiscal year</t>
  </si>
  <si>
    <t xml:space="preserve">2022A</t>
  </si>
  <si>
    <t xml:space="preserve">2023A</t>
  </si>
  <si>
    <t xml:space="preserve">2026A</t>
  </si>
  <si>
    <t xml:space="preserve">2025E</t>
  </si>
  <si>
    <t xml:space="preserve">2026E</t>
  </si>
  <si>
    <t xml:space="preserve">Source label</t>
  </si>
  <si>
    <t xml:space="preserve">Notes</t>
  </si>
  <si>
    <t xml:space="preserve">reported</t>
  </si>
  <si>
    <t xml:space="preserve">Latest historical year populated from plan.json; add multi-year sourced history before circulation.</t>
  </si>
  <si>
    <t xml:space="preserve">-</t>
  </si>
  <si>
    <t xml:space="preserve">derived</t>
  </si>
  <si>
    <t xml:space="preserve">Formula-derived</t>
  </si>
  <si>
    <t xml:space="preserve">Gross profit</t>
  </si>
  <si>
    <t xml:space="preserve">Gross margin</t>
  </si>
  <si>
    <t xml:space="preserve">EBITDA</t>
  </si>
  <si>
    <t xml:space="preserve">EBITDA margin</t>
  </si>
  <si>
    <t xml:space="preserve">Taxes</t>
  </si>
  <si>
    <t xml:space="preserve">Net income</t>
  </si>
  <si>
    <t xml:space="preserve">Operating NWC</t>
  </si>
  <si>
    <t xml:space="preserve">PP&amp;E</t>
  </si>
  <si>
    <t xml:space="preserve">2024A</t>
  </si>
  <si>
    <t xml:space="preserve">Scenario-linked revenue forecast</t>
  </si>
  <si>
    <t xml:space="preserve">Selected scenario</t>
  </si>
  <si>
    <t xml:space="preserve">Actual</t>
  </si>
  <si>
    <t xml:space="preserve">Revenue growth assumption</t>
  </si>
  <si>
    <t xml:space="preserve">Core revenue</t>
  </si>
  <si>
    <t xml:space="preserve">Other revenue</t>
  </si>
  <si>
    <t xml:space="preserve">Segment mix / driver placeholder</t>
  </si>
  <si>
    <t xml:space="preserve">Output revenue</t>
  </si>
  <si>
    <t xml:space="preserve">Output revenue growth</t>
  </si>
  <si>
    <t xml:space="preserve">Margin / Cost Build</t>
  </si>
  <si>
    <t xml:space="preserve">Operating profitability</t>
  </si>
  <si>
    <t xml:space="preserve">EBITDA margin assumption</t>
  </si>
  <si>
    <t xml:space="preserve">D&amp;A % revenue</t>
  </si>
  <si>
    <t xml:space="preserve">Margin expansion / compression vs prior year</t>
  </si>
  <si>
    <t xml:space="preserve">Cash taxes</t>
  </si>
  <si>
    <t xml:space="preserve">Operating working capital</t>
  </si>
  <si>
    <t xml:space="preserve">Accounts receivable</t>
  </si>
  <si>
    <t xml:space="preserve">Inventory</t>
  </si>
  <si>
    <t xml:space="preserve">Accounts payable</t>
  </si>
  <si>
    <t xml:space="preserve">Other current assets / liabilities net</t>
  </si>
  <si>
    <t xml:space="preserve">NWC % revenue</t>
  </si>
  <si>
    <t xml:space="preserve">Cash flow impact of NWC</t>
  </si>
  <si>
    <t xml:space="preserve">Capex and D&amp;A</t>
  </si>
  <si>
    <t xml:space="preserve">Capital expenditure and depreciation schedule</t>
  </si>
  <si>
    <t xml:space="preserve">Capex % revenue</t>
  </si>
  <si>
    <t xml:space="preserve">Beginning PP&amp;E</t>
  </si>
  <si>
    <t xml:space="preserve">Ending PP&amp;E</t>
  </si>
  <si>
    <t xml:space="preserve">D&amp;A % beginning PP&amp;E</t>
  </si>
  <si>
    <t xml:space="preserve">Book and cash tax calculation</t>
  </si>
  <si>
    <t xml:space="preserve">Statutory tax rate</t>
  </si>
  <si>
    <t xml:space="preserve">Cash tax rate</t>
  </si>
  <si>
    <t xml:space="preserve">NOL usage placeholder</t>
  </si>
  <si>
    <t xml:space="preserve">Deferred tax placeholder</t>
  </si>
  <si>
    <t xml:space="preserve">Tax warning / simplified treatment</t>
  </si>
  <si>
    <t xml:space="preserve">Replace placeholder NOL/deferred tax logic where material</t>
  </si>
  <si>
    <t xml:space="preserve">Simplified cash tax schedule; add NOL detail if material</t>
  </si>
  <si>
    <t xml:space="preserve">Unlevered Free Cash Flow</t>
  </si>
  <si>
    <t xml:space="preserve">Core DCF cash flows</t>
  </si>
  <si>
    <t xml:space="preserve">Less: cash taxes</t>
  </si>
  <si>
    <t xml:space="preserve">Plus: D&amp;A</t>
  </si>
  <si>
    <t xml:space="preserve">Less: Capex</t>
  </si>
  <si>
    <t xml:space="preserve">Less: Change in NWC</t>
  </si>
  <si>
    <t xml:space="preserve">Unlevered free cash flow</t>
  </si>
  <si>
    <t xml:space="preserve">n/a</t>
  </si>
  <si>
    <t xml:space="preserve">Discount factor</t>
  </si>
  <si>
    <t xml:space="preserve">Present value of FCF</t>
  </si>
  <si>
    <t xml:space="preserve">Weighted Average Cost of Capital</t>
  </si>
  <si>
    <t xml:space="preserve">Cost of equity</t>
  </si>
  <si>
    <t xml:space="preserve">Source / calculation basis</t>
  </si>
  <si>
    <t xml:space="preserve">placeholder</t>
  </si>
  <si>
    <t xml:space="preserve">Cost of debt and capital structure</t>
  </si>
  <si>
    <t xml:space="preserve">After-tax cost of debt</t>
  </si>
  <si>
    <t xml:space="preserve">Target debt / capital</t>
  </si>
  <si>
    <t xml:space="preserve">Target equity / capital</t>
  </si>
  <si>
    <t xml:space="preserve">WACC formula check</t>
  </si>
  <si>
    <t xml:space="preserve">Calculated WACC</t>
  </si>
  <si>
    <t xml:space="preserve">Source notes</t>
  </si>
  <si>
    <t xml:space="preserve">Risk-free source</t>
  </si>
  <si>
    <t xml:space="preserve">Market data confidence</t>
  </si>
  <si>
    <t xml:space="preserve">WACC caveat</t>
  </si>
  <si>
    <t xml:space="preserve">Replace illustrative assumptions with market data as of valuation date</t>
  </si>
  <si>
    <t xml:space="preserve">Terminal value calculation</t>
  </si>
  <si>
    <t xml:space="preserve">Selected method</t>
  </si>
  <si>
    <t xml:space="preserve">Terminal EBITDA</t>
  </si>
  <si>
    <t xml:space="preserve">Terminal FCF</t>
  </si>
  <si>
    <t xml:space="preserve">Gordon growth terminal value</t>
  </si>
  <si>
    <t xml:space="preserve">Exit multiple terminal value</t>
  </si>
  <si>
    <t xml:space="preserve">Selected terminal value</t>
  </si>
  <si>
    <t xml:space="preserve">Terminal discount factor</t>
  </si>
  <si>
    <t xml:space="preserve">Implied terminal EBITDA multiple</t>
  </si>
  <si>
    <t xml:space="preserve">Implied terminal FCF yield</t>
  </si>
  <si>
    <t xml:space="preserve">Implied perpetual growth cross-check</t>
  </si>
  <si>
    <t xml:space="preserve">Terminal value sanity checks</t>
  </si>
  <si>
    <t xml:space="preserve">Terminal value / enterprise value</t>
  </si>
  <si>
    <t xml:space="preserve">Growth below WACC</t>
  </si>
  <si>
    <t xml:space="preserve">Positive selected terminal value</t>
  </si>
  <si>
    <t xml:space="preserve">PV of forecast FCF</t>
  </si>
  <si>
    <t xml:space="preserve">Terminal value % of enterprise value</t>
  </si>
  <si>
    <t xml:space="preserve">Enterprise value check</t>
  </si>
  <si>
    <t xml:space="preserve">EV-to-equity bridge</t>
  </si>
  <si>
    <t xml:space="preserve">Less: net debt</t>
  </si>
  <si>
    <t xml:space="preserve">Less: minority interest</t>
  </si>
  <si>
    <t xml:space="preserve">Less: preferred stock</t>
  </si>
  <si>
    <t xml:space="preserve">Plus: non-operating assets</t>
  </si>
  <si>
    <t xml:space="preserve">Implied EV / EBITDA</t>
  </si>
  <si>
    <t xml:space="preserve">Implied FCF yield</t>
  </si>
  <si>
    <t xml:space="preserve">Implied share price by WACC and terminal growth</t>
  </si>
  <si>
    <t xml:space="preserve">Implied share price by WACC and exit multiple</t>
  </si>
  <si>
    <t xml:space="preserve">Enterprise value by revenue CAGR and EBITDA margin</t>
  </si>
  <si>
    <t xml:space="preserve">Equity value by WACC and terminal growth</t>
  </si>
  <si>
    <t xml:space="preserve">Upside / downside by WACC and terminal growth</t>
  </si>
  <si>
    <t xml:space="preserve">Base / downside / upside case matrix</t>
  </si>
  <si>
    <t xml:space="preserve">Case</t>
  </si>
  <si>
    <t xml:space="preserve">Model Integrity Checks</t>
  </si>
  <si>
    <t xml:space="preserve">Check</t>
  </si>
  <si>
    <t xml:space="preserve">Formula / tie-out</t>
  </si>
  <si>
    <t xml:space="preserve">Status</t>
  </si>
  <si>
    <t xml:space="preserve">Severity</t>
  </si>
  <si>
    <t xml:space="preserve">Owner</t>
  </si>
  <si>
    <t xml:space="preserve">Revenue forecast ties</t>
  </si>
  <si>
    <t xml:space="preserve">Revenue Build output ties to Margin Cost Build</t>
  </si>
  <si>
    <t xml:space="preserve">Hard failure</t>
  </si>
  <si>
    <t xml:space="preserve">Model owner</t>
  </si>
  <si>
    <t xml:space="preserve">EBITDA ties</t>
  </si>
  <si>
    <t xml:space="preserve">EBITDA equals revenue times EBITDA margin</t>
  </si>
  <si>
    <t xml:space="preserve">D&amp;A ties to Capex / D&amp;A tab</t>
  </si>
  <si>
    <t xml:space="preserve">Change in NWC ties</t>
  </si>
  <si>
    <t xml:space="preserve">Change in NWC ties to Working Capital</t>
  </si>
  <si>
    <t xml:space="preserve">Unlevered FCF ties</t>
  </si>
  <si>
    <t xml:space="preserve">FCF formula integrity</t>
  </si>
  <si>
    <t xml:space="preserve">Discount factors are positive</t>
  </si>
  <si>
    <t xml:space="preserve">Discount factors must be positive</t>
  </si>
  <si>
    <t xml:space="preserve">Terminal value is positive</t>
  </si>
  <si>
    <t xml:space="preserve">Selected terminal value must be positive</t>
  </si>
  <si>
    <t xml:space="preserve">Enterprise value equals PV FCF + PV terminal value</t>
  </si>
  <si>
    <t xml:space="preserve">Enterprise value ties</t>
  </si>
  <si>
    <t xml:space="preserve">Equity bridge ties</t>
  </si>
  <si>
    <t xml:space="preserve">EV-to-equity bridge ties</t>
  </si>
  <si>
    <t xml:space="preserve">Share price calculation ties</t>
  </si>
  <si>
    <t xml:space="preserve">Implied share price ties</t>
  </si>
  <si>
    <t xml:space="preserve">No missing scenario selection</t>
  </si>
  <si>
    <t xml:space="preserve">Scenario selection must be valid</t>
  </si>
  <si>
    <t xml:space="preserve">Validated by builder and tests</t>
  </si>
  <si>
    <t xml:space="preserve">Formula directionality - WACC sensitivity</t>
  </si>
  <si>
    <t xml:space="preserve">Share price should decrease as WACC increases</t>
  </si>
  <si>
    <t xml:space="preserve">Warning</t>
  </si>
  <si>
    <t xml:space="preserve">Terminal growth directionality</t>
  </si>
  <si>
    <t xml:space="preserve">Share price should increase as terminal growth increases</t>
  </si>
  <si>
    <t xml:space="preserve">Diluted shares positive</t>
  </si>
  <si>
    <t xml:space="preserve">Share count must be positive</t>
  </si>
  <si>
    <t xml:space="preserve">WACC greater than terminal growth</t>
  </si>
  <si>
    <t xml:space="preserve">Gordon growth requires WACC &gt; g</t>
  </si>
  <si>
    <t xml:space="preserve">Debt/cash constraints</t>
  </si>
  <si>
    <t xml:space="preserve">Net debt / cash bridge should be non-negative or explicitly reviewed</t>
  </si>
  <si>
    <t xml:space="preserve">Source labels present</t>
  </si>
  <si>
    <t xml:space="preserve">Source notes and confidence labels are required</t>
  </si>
  <si>
    <t xml:space="preserve">Source Notes and Evidence Tracking</t>
  </si>
  <si>
    <t xml:space="preserve">Input area</t>
  </si>
  <si>
    <t xml:space="preserve">Source</t>
  </si>
  <si>
    <t xml:space="preserve">Evidence label</t>
  </si>
  <si>
    <t xml:space="preserve">As-of date</t>
  </si>
  <si>
    <t xml:space="preserve">Confidence</t>
  </si>
  <si>
    <t xml:space="preserve">Notes / diligence items</t>
  </si>
  <si>
    <t xml:space="preserve">Historical financials</t>
  </si>
  <si>
    <t xml:space="preserve">NVIDIA Q1 FY2027 Form 10-Q, FY2026 Form 10-K, and StockAnalysis TTM aggregation</t>
  </si>
  <si>
    <t xml:space="preserve">2026-04-26</t>
  </si>
  <si>
    <t xml:space="preserve">High</t>
  </si>
  <si>
    <t xml:space="preserve">TTM revenue, EBIT, D&amp;A, capex, and cash flow. SEC 10-Q: https://www.sec.gov/Archives/edgar/data/1045810/000104581026000052/nvda-20260426.htm; SEC 10-K: https://www.sec.gov/Archives/edgar/data/1045810/000104581026000021/nvda-20260125.htm</t>
  </si>
  <si>
    <t xml:space="preserve">Reviewed</t>
  </si>
  <si>
    <t xml:space="preserve">Forecast assumptions</t>
  </si>
  <si>
    <t xml:space="preserve">Codex operating case</t>
  </si>
  <si>
    <t xml:space="preserve">analyst_estimate</t>
  </si>
  <si>
    <t xml:space="preserve">Low</t>
  </si>
  <si>
    <t xml:space="preserve">Six-year driver build informed by Q1 FY2027 results and Q2 guidance; not company long-range guidance or consensus.</t>
  </si>
  <si>
    <t xml:space="preserve">Open</t>
  </si>
  <si>
    <t xml:space="preserve">WACC assumptions</t>
  </si>
  <si>
    <t xml:space="preserve">U.S. Treasury and Codex bottom-up beta assumption</t>
  </si>
  <si>
    <t xml:space="preserve">Medium</t>
  </si>
  <si>
    <t xml:space="preserve">4.63% 10-year Treasury; 1.35 normalized beta assumption versus 2.21 observed beta; 4.5% ERP; 1% target debt. Treasury: https://home.treasury.gov/resource-center/data-chart-center/interest-rates/TextView?field_tdr_date_value=2026&amp;type=daily_treasury_yield_curve</t>
  </si>
  <si>
    <t xml:space="preserve">Codex terminal value case</t>
  </si>
  <si>
    <t xml:space="preserve">Perpetual growth method; 3.0% base, 2.5% downside, 3.5% upside.</t>
  </si>
  <si>
    <t xml:space="preserve">NVIDIA Q1 FY2027 Form 10-Q</t>
  </si>
  <si>
    <t xml:space="preserve">$80.6bn cash, marketable debt and marketable equity securities; $8.5bn debt; $3.9bn leases.</t>
  </si>
  <si>
    <t xml:space="preserve">24.391bn Q1 diluted weighted-average shares; 200mm unvested RSUs/PSUs outstanding at quarter end are captured by the treasury-stock method in diluted shares.</t>
  </si>
  <si>
    <t xml:space="preserve">Missing source</t>
  </si>
  <si>
    <t xml:space="preserve">Current share price was not provided in plan.json unless supplied in market.current_share_price or ev_to_equity_bridge.current_share_price.</t>
  </si>
  <si>
    <t xml:space="preserve">Segment assumptions</t>
  </si>
  <si>
    <t xml:space="preserve">Plan schema</t>
  </si>
  <si>
    <t xml:space="preserve">No segment-level revenue split provided; forecast starts from total historical revenue.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</si>
</sst>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\$0.00"/>
    <numFmt numFmtId="166" formatCode="0.0%"/>
    <numFmt numFmtId="167" formatCode="\$#,##0"/>
    <numFmt numFmtId="168" formatCode="0.0\x"/>
    <numFmt numFmtId="169" formatCode="#,##0"/>
    <numFmt numFmtId="170" formatCode="\$#,##0.0;[RED]&quot;($&quot;#,##0.0\);\-"/>
    <numFmt numFmtId="171" formatCode="\$#,##0.00;[RED]&quot;($&quot;#,##0.00\);\-"/>
    <numFmt numFmtId="172" formatCode="0.00\x"/>
    <numFmt numFmtId="173" formatCode="0.0\x"/>
    <numFmt numFmtId="174" formatCode="#,##0.0"/>
    <numFmt numFmtId="175" formatCode="0.00%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ptos"/>
      <family val="0"/>
      <charset val="1"/>
    </font>
    <font>
      <b val="true"/>
      <sz val="10"/>
      <color rgb="FF0A8F86"/>
      <name val="Aptos"/>
      <family val="0"/>
      <charset val="1"/>
    </font>
    <font>
      <sz val="10"/>
      <color rgb="FF172033"/>
      <name val="Aptos"/>
      <family val="0"/>
      <charset val="1"/>
    </font>
    <font>
      <b val="true"/>
      <sz val="10"/>
      <color rgb="FFC9495E"/>
      <name val="Aptos"/>
      <family val="0"/>
      <charset val="1"/>
    </font>
    <font>
      <sz val="10"/>
      <color rgb="FF5B667A"/>
      <name val="Aptos"/>
      <family val="0"/>
      <charset val="1"/>
    </font>
    <font>
      <b val="true"/>
      <sz val="10"/>
      <color rgb="FF172033"/>
      <name val="Aptos"/>
      <family val="0"/>
      <charset val="1"/>
    </font>
    <font>
      <b val="true"/>
      <sz val="14"/>
      <color rgb="FF172033"/>
      <name val="Aptos"/>
      <family val="0"/>
      <charset val="1"/>
    </font>
    <font>
      <sz val="10"/>
      <color rgb="FF2864DC"/>
      <name val="Aptos"/>
      <family val="0"/>
      <charset val="1"/>
    </font>
    <font>
      <b val="true"/>
      <sz val="10"/>
      <color rgb="FF5B667A"/>
      <name val="Aptos"/>
      <family val="0"/>
      <charset val="1"/>
    </font>
    <font>
      <b val="true"/>
      <sz val="10"/>
      <color rgb="FFFFFFFF"/>
      <name val="Aptos"/>
      <family val="0"/>
      <charset val="1"/>
    </font>
    <font>
      <b val="true"/>
      <sz val="11"/>
      <color rgb="FFFFFFFF"/>
      <name val="Aptos"/>
      <family val="0"/>
      <charset val="1"/>
    </font>
    <font>
      <sz val="9"/>
      <color rgb="FF5B667A"/>
      <name val="Aptos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0B1739"/>
        <bgColor rgb="FF172033"/>
      </patternFill>
    </fill>
    <fill>
      <patternFill patternType="solid">
        <fgColor rgb="FFE8F6F4"/>
        <bgColor rgb="FFEAF1FF"/>
      </patternFill>
    </fill>
    <fill>
      <patternFill patternType="solid">
        <fgColor rgb="FFFBECEF"/>
        <bgColor rgb="FFF2F4F7"/>
      </patternFill>
    </fill>
    <fill>
      <patternFill patternType="solid">
        <fgColor rgb="FFEAF1FF"/>
        <bgColor rgb="FFE8F6F4"/>
      </patternFill>
    </fill>
    <fill>
      <patternFill patternType="solid">
        <fgColor rgb="FFF3F6FA"/>
        <bgColor rgb="FFF2F4F7"/>
      </patternFill>
    </fill>
    <fill>
      <patternFill patternType="solid">
        <fgColor rgb="FF17365D"/>
        <bgColor rgb="FF1F4E78"/>
      </patternFill>
    </fill>
    <fill>
      <patternFill patternType="solid">
        <fgColor rgb="FF1F4E78"/>
        <bgColor rgb="FF17365D"/>
      </patternFill>
    </fill>
    <fill>
      <patternFill patternType="solid">
        <fgColor rgb="FFF2F4F7"/>
        <bgColor rgb="FFF3F6FA"/>
      </patternFill>
    </fill>
    <fill>
      <patternFill patternType="solid">
        <fgColor rgb="FFE2F0D9"/>
        <bgColor rgb="FFE8F6F4"/>
      </patternFill>
    </fill>
    <fill>
      <patternFill patternType="solid">
        <fgColor rgb="FFFFFFFF"/>
        <bgColor rgb="FFF3F6FA"/>
      </patternFill>
    </fill>
    <fill>
      <patternFill patternType="solid">
        <fgColor rgb="FFFFF2CC"/>
        <bgColor rgb="FFFBECEF"/>
      </patternFill>
    </fill>
    <fill>
      <patternFill patternType="solid">
        <fgColor rgb="FFD9EAF7"/>
        <bgColor rgb="FFD9E1F2"/>
      </patternFill>
    </fill>
    <fill>
      <patternFill patternType="solid">
        <fgColor rgb="FFD9E1F2"/>
        <bgColor rgb="FFD8E0EA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8E0EA"/>
      </bottom>
      <diagonal/>
    </border>
    <border diagonalUp="false" diagonalDown="false">
      <left style="thin">
        <color rgb="FFB7B7B7"/>
      </left>
      <right/>
      <top style="medium">
        <color rgb="FF1F4E78"/>
      </top>
      <bottom style="medium">
        <color rgb="FF1F4E78"/>
      </bottom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medium">
        <color rgb="FF1F4E78"/>
      </bottom>
      <diagonal/>
    </border>
    <border diagonalUp="false" diagonalDown="false">
      <left style="thin">
        <color rgb="FFB7B7B7"/>
      </left>
      <right style="thin">
        <color rgb="FFB7B7B7"/>
      </right>
      <top style="medium">
        <color rgb="FF1F4E78"/>
      </top>
      <bottom style="medium">
        <color rgb="FF1F4E7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6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11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1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9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9" fillId="10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1" fontId="19" fillId="10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1" fontId="20" fillId="11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9" fillId="10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9" fillId="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3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21" fillId="13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21" fillId="13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8" fillId="1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1" fillId="13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9" fillId="11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3" fontId="21" fillId="13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0" fontId="21" fillId="13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4" fontId="21" fillId="13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8" fillId="1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4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0" fontId="20" fillId="11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9" fillId="11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20" fillId="11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0" fontId="19" fillId="11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19" fillId="11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9" fillId="1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20" fillId="11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20" fillId="10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8" fillId="1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19" fillId="11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2" fontId="19" fillId="11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2" fontId="20" fillId="11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0" fontId="19" fillId="1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3" fontId="20" fillId="11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2" fontId="19" fillId="10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3" fontId="19" fillId="10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9" fillId="10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4" fontId="20" fillId="11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8" fillId="1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1" fillId="13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8" fillId="14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3" fontId="21" fillId="13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11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4" fontId="19" fillId="11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5" fontId="19" fillId="11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5B667A"/>
          <bgColor rgb="FF000000"/>
        </patternFill>
      </fill>
    </dxf>
    <dxf>
      <fill>
        <patternFill patternType="solid">
          <fgColor rgb="FFF3F6FA"/>
          <bgColor rgb="FF000000"/>
        </patternFill>
      </fill>
    </dxf>
    <dxf>
      <fill>
        <patternFill patternType="solid">
          <fgColor rgb="FFFBECEF"/>
          <bgColor rgb="FF000000"/>
        </patternFill>
      </fill>
    </dxf>
    <dxf>
      <fill>
        <patternFill patternType="solid">
          <fgColor rgb="FF172033"/>
          <bgColor rgb="FF000000"/>
        </patternFill>
      </fill>
    </dxf>
    <dxf>
      <fill>
        <patternFill patternType="solid">
          <fgColor rgb="FFEAF1FF"/>
          <bgColor rgb="FF000000"/>
        </patternFill>
      </fill>
    </dxf>
    <dxf>
      <fill>
        <patternFill patternType="solid">
          <fgColor rgb="FFE8F6F4"/>
          <bgColor rgb="FF000000"/>
        </patternFill>
      </fill>
    </dxf>
    <dxf>
      <fill>
        <patternFill>
          <bgColor rgb="FFE2F0D9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3F6FA"/>
      <rgbColor rgb="FFFF00FF"/>
      <rgbColor rgb="FF00FFFF"/>
      <rgbColor rgb="FF800000"/>
      <rgbColor rgb="FF008000"/>
      <rgbColor rgb="FF000080"/>
      <rgbColor rgb="FF808000"/>
      <rgbColor rgb="FF800080"/>
      <rgbColor rgb="FF0A8F86"/>
      <rgbColor rgb="FFB7B7B7"/>
      <rgbColor rgb="FF808080"/>
      <rgbColor rgb="FF9999FF"/>
      <rgbColor rgb="FFC9495E"/>
      <rgbColor rgb="FFFFF2CC"/>
      <rgbColor rgb="FFE8F6F4"/>
      <rgbColor rgb="FF660066"/>
      <rgbColor rgb="FFFF8080"/>
      <rgbColor rgb="FF0066CC"/>
      <rgbColor rgb="FFD8E0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AF7"/>
      <rgbColor rgb="FFE2F0D9"/>
      <rgbColor rgb="FFFBECEF"/>
      <rgbColor rgb="FFD9E1F2"/>
      <rgbColor rgb="FFF2F4F7"/>
      <rgbColor rgb="FFEAF1FF"/>
      <rgbColor rgb="FFF4CCCC"/>
      <rgbColor rgb="FF2864DC"/>
      <rgbColor rgb="FF33CCCC"/>
      <rgbColor rgb="FF99CC00"/>
      <rgbColor rgb="FFFFCC00"/>
      <rgbColor rgb="FFFF9900"/>
      <rgbColor rgb="FFFF6600"/>
      <rgbColor rgb="FF5B667A"/>
      <rgbColor rgb="FF969696"/>
      <rgbColor rgb="FF17365D"/>
      <rgbColor rgb="FF339966"/>
      <rgbColor rgb="FF0B1739"/>
      <rgbColor rgb="FF333300"/>
      <rgbColor rgb="FF993300"/>
      <rgbColor rgb="FF993366"/>
      <rgbColor rgb="FF1F4E78"/>
      <rgbColor rgb="FF1720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E60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1" ySplit="23" topLeftCell="B24" activePane="bottomRight" state="frozen"/>
      <selection pane="topLeft" activeCell="A1" activeCellId="0" sqref="A1"/>
      <selection pane="topRight" activeCell="B1" activeCellId="0" sqref="B1"/>
      <selection pane="bottomLeft" activeCell="A24" activeCellId="0" sqref="A2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1"/>
    <col collapsed="false" customWidth="true" hidden="false" outlineLevel="0" max="4" min="2" style="0" width="18"/>
    <col collapsed="false" customWidth="true" hidden="false" outlineLevel="0" max="31" min="5" style="0" width="14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4" t="s">
        <v>3</v>
      </c>
      <c r="B4" s="5" t="s">
        <v>4</v>
      </c>
    </row>
    <row r="6" customFormat="false" ht="15" hidden="false" customHeight="false" outlineLevel="0" collapsed="false">
      <c r="A6" s="6" t="s">
        <v>5</v>
      </c>
      <c r="B6" s="7" t="s">
        <v>6</v>
      </c>
      <c r="F6" s="6" t="s">
        <v>7</v>
      </c>
      <c r="G6" s="7" t="s">
        <v>8</v>
      </c>
    </row>
    <row r="7" customFormat="false" ht="17.35" hidden="false" customHeight="false" outlineLevel="0" collapsed="false">
      <c r="A7" s="6" t="s">
        <v>9</v>
      </c>
      <c r="B7" s="8" t="n">
        <f aca="false">'Control Panel'!$B$12</f>
        <v>211.94</v>
      </c>
      <c r="F7" s="6" t="s">
        <v>10</v>
      </c>
      <c r="G7" s="9" t="s">
        <v>11</v>
      </c>
    </row>
    <row r="8" customFormat="false" ht="18" hidden="false" customHeight="true" outlineLevel="0" collapsed="false">
      <c r="B8" s="10" t="s">
        <v>12</v>
      </c>
      <c r="C8" s="11" t="s">
        <v>13</v>
      </c>
      <c r="D8" s="12" t="s">
        <v>14</v>
      </c>
    </row>
    <row r="9" customFormat="false" ht="18" hidden="false" customHeight="true" outlineLevel="0" collapsed="false">
      <c r="A9" s="13" t="s">
        <v>15</v>
      </c>
      <c r="B9" s="14" t="n">
        <f aca="false">B43</f>
        <v>0.121353</v>
      </c>
      <c r="C9" s="14" t="n">
        <f aca="false">J43</f>
        <v>0.106353</v>
      </c>
      <c r="D9" s="14" t="n">
        <f aca="false">R43</f>
        <v>0.098853</v>
      </c>
    </row>
    <row r="10" customFormat="false" ht="18" hidden="false" customHeight="true" outlineLevel="0" collapsed="false">
      <c r="A10" s="13" t="s">
        <v>16</v>
      </c>
      <c r="B10" s="14" t="n">
        <f aca="false">B44</f>
        <v>0.025</v>
      </c>
      <c r="C10" s="14" t="n">
        <f aca="false">J44</f>
        <v>0.03</v>
      </c>
      <c r="D10" s="14" t="n">
        <f aca="false">R44</f>
        <v>0.035</v>
      </c>
    </row>
    <row r="11" customFormat="false" ht="18" hidden="false" customHeight="true" outlineLevel="0" collapsed="false">
      <c r="A11" s="13" t="s">
        <v>17</v>
      </c>
      <c r="B11" s="14" t="n">
        <f aca="false">((1+B26)*(1+C26)*(1+D26)*(1+E26)*(1+F26)*(1+G26))^(1/6)-1</f>
        <v>0.122086553601453</v>
      </c>
      <c r="C11" s="14" t="n">
        <f aca="false">((1+J26)*(1+K26)*(1+L26)*(1+M26)*(1+N26)*(1+O26))^(1/6)-1</f>
        <v>0.203550077015862</v>
      </c>
      <c r="D11" s="14" t="n">
        <f aca="false">((1+R26)*(1+S26)*(1+T26)*(1+U26)*(1+V26)*(1+W26))^(1/6)-1</f>
        <v>0.263640401037107</v>
      </c>
    </row>
    <row r="12" customFormat="false" ht="18" hidden="false" customHeight="true" outlineLevel="0" collapsed="false">
      <c r="A12" s="13" t="s">
        <v>18</v>
      </c>
      <c r="B12" s="15" t="n">
        <f aca="false">B49</f>
        <v>1701384.75265197</v>
      </c>
      <c r="C12" s="15" t="n">
        <f aca="false">J49</f>
        <v>3537229.85896043</v>
      </c>
      <c r="D12" s="15" t="n">
        <f aca="false">R49</f>
        <v>6042825.02513055</v>
      </c>
    </row>
    <row r="13" customFormat="false" ht="18" hidden="false" customHeight="true" outlineLevel="0" collapsed="false">
      <c r="A13" s="16" t="s">
        <v>19</v>
      </c>
      <c r="B13" s="17" t="n">
        <f aca="false">B57</f>
        <v>72.5517097557284</v>
      </c>
      <c r="C13" s="18" t="n">
        <f aca="false">J57</f>
        <v>147.819025827577</v>
      </c>
      <c r="D13" s="19" t="n">
        <f aca="false">R57</f>
        <v>250.545243127816</v>
      </c>
    </row>
    <row r="14" customFormat="false" ht="18" hidden="false" customHeight="true" outlineLevel="0" collapsed="false">
      <c r="A14" s="16" t="s">
        <v>20</v>
      </c>
      <c r="B14" s="20" t="n">
        <f aca="false">B59</f>
        <v>-0.657678070417437</v>
      </c>
      <c r="C14" s="21" t="n">
        <f aca="false">J59</f>
        <v>-0.302543050733336</v>
      </c>
      <c r="D14" s="22" t="n">
        <f aca="false">R59</f>
        <v>0.182151755816814</v>
      </c>
    </row>
    <row r="15" customFormat="false" ht="18" hidden="false" customHeight="true" outlineLevel="0" collapsed="false">
      <c r="A15" s="13" t="s">
        <v>21</v>
      </c>
      <c r="B15" s="14" t="n">
        <f aca="false">B60</f>
        <v>0.595250051104164</v>
      </c>
      <c r="C15" s="14" t="n">
        <f aca="false">J60</f>
        <v>0.684194267917582</v>
      </c>
      <c r="D15" s="14" t="n">
        <f aca="false">R60</f>
        <v>0.747551194011727</v>
      </c>
    </row>
    <row r="16" customFormat="false" ht="18" hidden="false" customHeight="true" outlineLevel="0" collapsed="false"/>
    <row r="17" customFormat="false" ht="18" hidden="false" customHeight="true" outlineLevel="0" collapsed="false">
      <c r="A17" s="23" t="s">
        <v>22</v>
      </c>
    </row>
    <row r="18" customFormat="false" ht="18" hidden="false" customHeight="true" outlineLevel="0" collapsed="false">
      <c r="A18" s="13" t="s">
        <v>23</v>
      </c>
      <c r="C18" s="24" t="n">
        <v>0.089623863280176</v>
      </c>
    </row>
    <row r="19" customFormat="false" ht="18" hidden="false" customHeight="true" outlineLevel="0" collapsed="false">
      <c r="A19" s="13" t="s">
        <v>24</v>
      </c>
      <c r="C19" s="24" t="n">
        <f aca="false">((1+Z26)*(1+AA26)*(1+AB26)*(1+AC26)*(1+AD26)*(1+AE26))^(1/6)-1</f>
        <v>0.293385658105885</v>
      </c>
    </row>
    <row r="20" customFormat="false" ht="18" hidden="false" customHeight="true" outlineLevel="0" collapsed="false">
      <c r="A20" s="13" t="s">
        <v>25</v>
      </c>
      <c r="C20" s="25" t="n">
        <f aca="false">Z57</f>
        <v>211.94</v>
      </c>
    </row>
    <row r="21" customFormat="false" ht="18" hidden="false" customHeight="true" outlineLevel="0" collapsed="false"/>
    <row r="22" customFormat="false" ht="18" hidden="false" customHeight="true" outlineLevel="0" collapsed="false"/>
    <row r="23" customFormat="false" ht="18" hidden="false" customHeight="true" outlineLevel="0" collapsed="false"/>
    <row r="24" customFormat="false" ht="18" hidden="false" customHeight="true" outlineLevel="0" collapsed="false">
      <c r="B24" s="26" t="s">
        <v>12</v>
      </c>
      <c r="C24" s="26"/>
      <c r="D24" s="26"/>
      <c r="E24" s="26"/>
      <c r="F24" s="26"/>
      <c r="G24" s="26"/>
      <c r="J24" s="26" t="s">
        <v>13</v>
      </c>
      <c r="K24" s="26"/>
      <c r="L24" s="26"/>
      <c r="M24" s="26"/>
      <c r="N24" s="26"/>
      <c r="O24" s="26"/>
      <c r="R24" s="26" t="s">
        <v>14</v>
      </c>
      <c r="S24" s="26"/>
      <c r="T24" s="26"/>
      <c r="U24" s="26"/>
      <c r="V24" s="26"/>
      <c r="W24" s="26"/>
      <c r="Z24" s="26" t="s">
        <v>22</v>
      </c>
      <c r="AA24" s="26"/>
      <c r="AB24" s="26"/>
      <c r="AC24" s="26"/>
      <c r="AD24" s="26"/>
      <c r="AE24" s="26"/>
    </row>
    <row r="25" customFormat="false" ht="18" hidden="false" customHeight="true" outlineLevel="0" collapsed="false">
      <c r="B25" s="27" t="str">
        <f aca="false">'Control Panel'!B$18</f>
        <v>2027E</v>
      </c>
      <c r="C25" s="27" t="str">
        <f aca="false">'Control Panel'!C$18</f>
        <v>2028E</v>
      </c>
      <c r="D25" s="27" t="str">
        <f aca="false">'Control Panel'!D$18</f>
        <v>2029E</v>
      </c>
      <c r="E25" s="27" t="str">
        <f aca="false">'Control Panel'!E$18</f>
        <v>2030E</v>
      </c>
      <c r="F25" s="27" t="str">
        <f aca="false">'Control Panel'!F$18</f>
        <v>2031E</v>
      </c>
      <c r="G25" s="27" t="str">
        <f aca="false">'Control Panel'!G$18</f>
        <v>2032E</v>
      </c>
      <c r="J25" s="27" t="str">
        <f aca="false">'Control Panel'!B$18</f>
        <v>2027E</v>
      </c>
      <c r="K25" s="27" t="str">
        <f aca="false">'Control Panel'!C$18</f>
        <v>2028E</v>
      </c>
      <c r="L25" s="27" t="str">
        <f aca="false">'Control Panel'!D$18</f>
        <v>2029E</v>
      </c>
      <c r="M25" s="27" t="str">
        <f aca="false">'Control Panel'!E$18</f>
        <v>2030E</v>
      </c>
      <c r="N25" s="27" t="str">
        <f aca="false">'Control Panel'!F$18</f>
        <v>2031E</v>
      </c>
      <c r="O25" s="27" t="str">
        <f aca="false">'Control Panel'!G$18</f>
        <v>2032E</v>
      </c>
      <c r="R25" s="27" t="str">
        <f aca="false">'Control Panel'!B$18</f>
        <v>2027E</v>
      </c>
      <c r="S25" s="27" t="str">
        <f aca="false">'Control Panel'!C$18</f>
        <v>2028E</v>
      </c>
      <c r="T25" s="27" t="str">
        <f aca="false">'Control Panel'!D$18</f>
        <v>2029E</v>
      </c>
      <c r="U25" s="27" t="str">
        <f aca="false">'Control Panel'!E$18</f>
        <v>2030E</v>
      </c>
      <c r="V25" s="27" t="str">
        <f aca="false">'Control Panel'!F$18</f>
        <v>2031E</v>
      </c>
      <c r="W25" s="27" t="str">
        <f aca="false">'Control Panel'!G$18</f>
        <v>2032E</v>
      </c>
      <c r="Z25" s="27" t="str">
        <f aca="false">'Control Panel'!B$18</f>
        <v>2027E</v>
      </c>
      <c r="AA25" s="27" t="str">
        <f aca="false">'Control Panel'!C$18</f>
        <v>2028E</v>
      </c>
      <c r="AB25" s="27" t="str">
        <f aca="false">'Control Panel'!D$18</f>
        <v>2029E</v>
      </c>
      <c r="AC25" s="27" t="str">
        <f aca="false">'Control Panel'!E$18</f>
        <v>2030E</v>
      </c>
      <c r="AD25" s="27" t="str">
        <f aca="false">'Control Panel'!F$18</f>
        <v>2031E</v>
      </c>
      <c r="AE25" s="27" t="str">
        <f aca="false">'Control Panel'!G$18</f>
        <v>2032E</v>
      </c>
    </row>
    <row r="26" customFormat="false" ht="18" hidden="false" customHeight="true" outlineLevel="0" collapsed="false">
      <c r="A26" s="28" t="s">
        <v>26</v>
      </c>
      <c r="B26" s="29" t="n">
        <f aca="false">'Control Panel'!B$22</f>
        <v>0.22</v>
      </c>
      <c r="C26" s="29" t="n">
        <f aca="false">'Control Panel'!C$22</f>
        <v>0.16</v>
      </c>
      <c r="D26" s="29" t="n">
        <f aca="false">'Control Panel'!D$22</f>
        <v>0.12</v>
      </c>
      <c r="E26" s="29" t="n">
        <f aca="false">'Control Panel'!E$22</f>
        <v>0.1</v>
      </c>
      <c r="F26" s="29" t="n">
        <f aca="false">'Control Panel'!F$22</f>
        <v>0.08</v>
      </c>
      <c r="G26" s="29" t="n">
        <f aca="false">'Control Panel'!G$22</f>
        <v>0.06</v>
      </c>
      <c r="J26" s="29" t="n">
        <f aca="false">'Control Panel'!B$21</f>
        <v>0.36</v>
      </c>
      <c r="K26" s="29" t="n">
        <f aca="false">'Control Panel'!C$21</f>
        <v>0.27</v>
      </c>
      <c r="L26" s="29" t="n">
        <f aca="false">'Control Panel'!D$21</f>
        <v>0.21</v>
      </c>
      <c r="M26" s="29" t="n">
        <f aca="false">'Control Panel'!E$21</f>
        <v>0.17</v>
      </c>
      <c r="N26" s="29" t="n">
        <f aca="false">'Control Panel'!F$21</f>
        <v>0.13</v>
      </c>
      <c r="O26" s="29" t="n">
        <f aca="false">'Control Panel'!G$21</f>
        <v>0.1</v>
      </c>
      <c r="R26" s="29" t="n">
        <f aca="false">'Control Panel'!B$23</f>
        <v>0.45</v>
      </c>
      <c r="S26" s="29" t="n">
        <f aca="false">'Control Panel'!C$23</f>
        <v>0.36</v>
      </c>
      <c r="T26" s="29" t="n">
        <f aca="false">'Control Panel'!D$23</f>
        <v>0.28</v>
      </c>
      <c r="U26" s="29" t="n">
        <f aca="false">'Control Panel'!E$23</f>
        <v>0.22</v>
      </c>
      <c r="V26" s="29" t="n">
        <f aca="false">'Control Panel'!F$23</f>
        <v>0.17</v>
      </c>
      <c r="W26" s="29" t="n">
        <f aca="false">'Control Panel'!G$23</f>
        <v>0.13</v>
      </c>
      <c r="Z26" s="29" t="n">
        <f aca="false">'Control Panel'!B$21+$C$18</f>
        <v>0.449623863280176</v>
      </c>
      <c r="AA26" s="29" t="n">
        <f aca="false">'Control Panel'!C$21+$C$18</f>
        <v>0.359623863280176</v>
      </c>
      <c r="AB26" s="29" t="n">
        <f aca="false">'Control Panel'!D$21+$C$18</f>
        <v>0.299623863280176</v>
      </c>
      <c r="AC26" s="29" t="n">
        <f aca="false">'Control Panel'!E$21+$C$18</f>
        <v>0.259623863280176</v>
      </c>
      <c r="AD26" s="29" t="n">
        <f aca="false">'Control Panel'!F$21+$C$18</f>
        <v>0.219623863280176</v>
      </c>
      <c r="AE26" s="29" t="n">
        <f aca="false">'Control Panel'!G$21+$C$18</f>
        <v>0.189623863280176</v>
      </c>
    </row>
    <row r="27" customFormat="false" ht="18" hidden="false" customHeight="true" outlineLevel="0" collapsed="false">
      <c r="A27" s="28" t="s">
        <v>27</v>
      </c>
      <c r="B27" s="30" t="n">
        <f aca="false">'Historical Financials'!$D$6*(1+B26)</f>
        <v>309259.02</v>
      </c>
      <c r="C27" s="30" t="n">
        <f aca="false">B27*(1+C26)</f>
        <v>358740.4632</v>
      </c>
      <c r="D27" s="30" t="n">
        <f aca="false">C27*(1+D26)</f>
        <v>401789.318784</v>
      </c>
      <c r="E27" s="30" t="n">
        <f aca="false">D27*(1+E26)</f>
        <v>441968.2506624</v>
      </c>
      <c r="F27" s="30" t="n">
        <f aca="false">E27*(1+F26)</f>
        <v>477325.710715392</v>
      </c>
      <c r="G27" s="30" t="n">
        <f aca="false">F27*(1+G26)</f>
        <v>505965.253358316</v>
      </c>
      <c r="J27" s="30" t="n">
        <f aca="false">'Historical Financials'!$D$6*(1+J26)</f>
        <v>344747.76</v>
      </c>
      <c r="K27" s="30" t="n">
        <f aca="false">J27*(1+K26)</f>
        <v>437829.6552</v>
      </c>
      <c r="L27" s="30" t="n">
        <f aca="false">K27*(1+L26)</f>
        <v>529773.882792</v>
      </c>
      <c r="M27" s="30" t="n">
        <f aca="false">L27*(1+M26)</f>
        <v>619835.44286664</v>
      </c>
      <c r="N27" s="30" t="n">
        <f aca="false">M27*(1+N26)</f>
        <v>700414.050439303</v>
      </c>
      <c r="O27" s="30" t="n">
        <f aca="false">N27*(1+O26)</f>
        <v>770455.455483233</v>
      </c>
      <c r="R27" s="30" t="n">
        <f aca="false">'Historical Financials'!$D$6*(1+R26)</f>
        <v>367561.95</v>
      </c>
      <c r="S27" s="30" t="n">
        <f aca="false">R27*(1+S26)</f>
        <v>499884.252</v>
      </c>
      <c r="T27" s="30" t="n">
        <f aca="false">S27*(1+T26)</f>
        <v>639851.84256</v>
      </c>
      <c r="U27" s="30" t="n">
        <f aca="false">T27*(1+U26)</f>
        <v>780619.2479232</v>
      </c>
      <c r="V27" s="30" t="n">
        <f aca="false">U27*(1+V26)</f>
        <v>913324.520070144</v>
      </c>
      <c r="W27" s="30" t="n">
        <f aca="false">V27*(1+W26)</f>
        <v>1032056.70767926</v>
      </c>
      <c r="Z27" s="30" t="n">
        <f aca="false">'Historical Financials'!$D$6*(1+Z26)</f>
        <v>367466.602726755</v>
      </c>
      <c r="AA27" s="30" t="n">
        <f aca="false">Z27*(1+AA26)</f>
        <v>499616.362025793</v>
      </c>
      <c r="AB27" s="30" t="n">
        <f aca="false">AA27*(1+AB26)</f>
        <v>649313.346573948</v>
      </c>
      <c r="AC27" s="30" t="n">
        <f aca="false">AB27*(1+AC26)</f>
        <v>817890.586090856</v>
      </c>
      <c r="AD27" s="30" t="n">
        <f aca="false">AC27*(1+AD26)</f>
        <v>997518.876348617</v>
      </c>
      <c r="AE27" s="30" t="n">
        <f aca="false">AD27*(1+AE26)</f>
        <v>1186672.25937674</v>
      </c>
    </row>
    <row r="28" customFormat="false" ht="18" hidden="false" customHeight="true" outlineLevel="0" collapsed="false">
      <c r="A28" s="28" t="s">
        <v>28</v>
      </c>
      <c r="B28" s="29" t="n">
        <f aca="false">'Control Panel'!B$32</f>
        <v>0.57</v>
      </c>
      <c r="C28" s="29" t="n">
        <f aca="false">'Control Panel'!C$32</f>
        <v>0.55</v>
      </c>
      <c r="D28" s="29" t="n">
        <f aca="false">'Control Panel'!D$32</f>
        <v>0.53</v>
      </c>
      <c r="E28" s="29" t="n">
        <f aca="false">'Control Panel'!E$32</f>
        <v>0.51</v>
      </c>
      <c r="F28" s="29" t="n">
        <f aca="false">'Control Panel'!F$32</f>
        <v>0.49</v>
      </c>
      <c r="G28" s="29" t="n">
        <f aca="false">'Control Panel'!G$32</f>
        <v>0.48</v>
      </c>
      <c r="J28" s="29" t="n">
        <f aca="false">'Control Panel'!B$31</f>
        <v>0.63</v>
      </c>
      <c r="K28" s="29" t="n">
        <f aca="false">'Control Panel'!C$31</f>
        <v>0.62</v>
      </c>
      <c r="L28" s="29" t="n">
        <f aca="false">'Control Panel'!D$31</f>
        <v>0.6</v>
      </c>
      <c r="M28" s="29" t="n">
        <f aca="false">'Control Panel'!E$31</f>
        <v>0.58</v>
      </c>
      <c r="N28" s="29" t="n">
        <f aca="false">'Control Panel'!F$31</f>
        <v>0.56</v>
      </c>
      <c r="O28" s="29" t="n">
        <f aca="false">'Control Panel'!G$31</f>
        <v>0.54</v>
      </c>
      <c r="R28" s="29" t="n">
        <f aca="false">'Control Panel'!B$33</f>
        <v>0.66</v>
      </c>
      <c r="S28" s="29" t="n">
        <f aca="false">'Control Panel'!C$33</f>
        <v>0.66</v>
      </c>
      <c r="T28" s="29" t="n">
        <f aca="false">'Control Panel'!D$33</f>
        <v>0.64</v>
      </c>
      <c r="U28" s="29" t="n">
        <f aca="false">'Control Panel'!E$33</f>
        <v>0.62</v>
      </c>
      <c r="V28" s="29" t="n">
        <f aca="false">'Control Panel'!F$33</f>
        <v>0.6</v>
      </c>
      <c r="W28" s="29" t="n">
        <f aca="false">'Control Panel'!G$33</f>
        <v>0.59</v>
      </c>
      <c r="Z28" s="29" t="n">
        <f aca="false">'Control Panel'!B$31</f>
        <v>0.63</v>
      </c>
      <c r="AA28" s="29" t="n">
        <f aca="false">'Control Panel'!C$31</f>
        <v>0.62</v>
      </c>
      <c r="AB28" s="29" t="n">
        <f aca="false">'Control Panel'!D$31</f>
        <v>0.6</v>
      </c>
      <c r="AC28" s="29" t="n">
        <f aca="false">'Control Panel'!E$31</f>
        <v>0.58</v>
      </c>
      <c r="AD28" s="29" t="n">
        <f aca="false">'Control Panel'!F$31</f>
        <v>0.56</v>
      </c>
      <c r="AE28" s="29" t="n">
        <f aca="false">'Control Panel'!G$31</f>
        <v>0.54</v>
      </c>
    </row>
    <row r="29" customFormat="false" ht="18" hidden="false" customHeight="true" outlineLevel="0" collapsed="false">
      <c r="A29" s="28" t="s">
        <v>29</v>
      </c>
      <c r="B29" s="30" t="n">
        <f aca="false">B27*B28</f>
        <v>176277.6414</v>
      </c>
      <c r="C29" s="30" t="n">
        <f aca="false">C27*C28</f>
        <v>197307.25476</v>
      </c>
      <c r="D29" s="30" t="n">
        <f aca="false">D27*D28</f>
        <v>212948.33895552</v>
      </c>
      <c r="E29" s="30" t="n">
        <f aca="false">E27*E28</f>
        <v>225403.807837824</v>
      </c>
      <c r="F29" s="30" t="n">
        <f aca="false">F27*F28</f>
        <v>233889.598250542</v>
      </c>
      <c r="G29" s="30" t="n">
        <f aca="false">G27*G28</f>
        <v>242863.321611992</v>
      </c>
      <c r="J29" s="30" t="n">
        <f aca="false">J27*J28</f>
        <v>217191.0888</v>
      </c>
      <c r="K29" s="30" t="n">
        <f aca="false">K27*K28</f>
        <v>271454.386224</v>
      </c>
      <c r="L29" s="30" t="n">
        <f aca="false">L27*L28</f>
        <v>317864.3296752</v>
      </c>
      <c r="M29" s="30" t="n">
        <f aca="false">M27*M28</f>
        <v>359504.556862651</v>
      </c>
      <c r="N29" s="30" t="n">
        <f aca="false">N27*N28</f>
        <v>392231.86824601</v>
      </c>
      <c r="O29" s="30" t="n">
        <f aca="false">O27*O28</f>
        <v>416045.945960946</v>
      </c>
      <c r="R29" s="30" t="n">
        <f aca="false">R27*R28</f>
        <v>242590.887</v>
      </c>
      <c r="S29" s="30" t="n">
        <f aca="false">S27*S28</f>
        <v>329923.60632</v>
      </c>
      <c r="T29" s="30" t="n">
        <f aca="false">T27*T28</f>
        <v>409505.1792384</v>
      </c>
      <c r="U29" s="30" t="n">
        <f aca="false">U27*U28</f>
        <v>483983.933712384</v>
      </c>
      <c r="V29" s="30" t="n">
        <f aca="false">V27*V28</f>
        <v>547994.712042086</v>
      </c>
      <c r="W29" s="30" t="n">
        <f aca="false">W27*W28</f>
        <v>608913.457530765</v>
      </c>
      <c r="Z29" s="30" t="n">
        <f aca="false">Z27*Z28</f>
        <v>231503.959717856</v>
      </c>
      <c r="AA29" s="30" t="n">
        <f aca="false">AA27*AA28</f>
        <v>309762.144455991</v>
      </c>
      <c r="AB29" s="30" t="n">
        <f aca="false">AB27*AB28</f>
        <v>389588.007944368</v>
      </c>
      <c r="AC29" s="30" t="n">
        <f aca="false">AC27*AC28</f>
        <v>474376.539932696</v>
      </c>
      <c r="AD29" s="30" t="n">
        <f aca="false">AD27*AD28</f>
        <v>558610.570755225</v>
      </c>
      <c r="AE29" s="30" t="n">
        <f aca="false">AE27*AE28</f>
        <v>640803.02006344</v>
      </c>
    </row>
    <row r="30" customFormat="false" ht="18" hidden="false" customHeight="true" outlineLevel="0" collapsed="false">
      <c r="A30" s="28" t="s">
        <v>30</v>
      </c>
      <c r="B30" s="29" t="n">
        <f aca="false">'Control Panel'!B$52</f>
        <v>0.18</v>
      </c>
      <c r="C30" s="29" t="n">
        <f aca="false">'Control Panel'!C$52</f>
        <v>0.18</v>
      </c>
      <c r="D30" s="29" t="n">
        <f aca="false">'Control Panel'!D$52</f>
        <v>0.18</v>
      </c>
      <c r="E30" s="29" t="n">
        <f aca="false">'Control Panel'!E$52</f>
        <v>0.18</v>
      </c>
      <c r="F30" s="29" t="n">
        <f aca="false">'Control Panel'!F$52</f>
        <v>0.18</v>
      </c>
      <c r="G30" s="29" t="n">
        <f aca="false">'Control Panel'!G$52</f>
        <v>0.18</v>
      </c>
      <c r="J30" s="29" t="n">
        <f aca="false">'Control Panel'!B$51</f>
        <v>0.17</v>
      </c>
      <c r="K30" s="29" t="n">
        <f aca="false">'Control Panel'!C$51</f>
        <v>0.17</v>
      </c>
      <c r="L30" s="29" t="n">
        <f aca="false">'Control Panel'!D$51</f>
        <v>0.17</v>
      </c>
      <c r="M30" s="29" t="n">
        <f aca="false">'Control Panel'!E$51</f>
        <v>0.17</v>
      </c>
      <c r="N30" s="29" t="n">
        <f aca="false">'Control Panel'!F$51</f>
        <v>0.17</v>
      </c>
      <c r="O30" s="29" t="n">
        <f aca="false">'Control Panel'!G$51</f>
        <v>0.17</v>
      </c>
      <c r="R30" s="29" t="n">
        <f aca="false">'Control Panel'!B$53</f>
        <v>0.16</v>
      </c>
      <c r="S30" s="29" t="n">
        <f aca="false">'Control Panel'!C$53</f>
        <v>0.16</v>
      </c>
      <c r="T30" s="29" t="n">
        <f aca="false">'Control Panel'!D$53</f>
        <v>0.16</v>
      </c>
      <c r="U30" s="29" t="n">
        <f aca="false">'Control Panel'!E$53</f>
        <v>0.16</v>
      </c>
      <c r="V30" s="29" t="n">
        <f aca="false">'Control Panel'!F$53</f>
        <v>0.16</v>
      </c>
      <c r="W30" s="29" t="n">
        <f aca="false">'Control Panel'!G$53</f>
        <v>0.16</v>
      </c>
      <c r="Z30" s="29" t="n">
        <f aca="false">'Control Panel'!B$51</f>
        <v>0.17</v>
      </c>
      <c r="AA30" s="29" t="n">
        <f aca="false">'Control Panel'!C$51</f>
        <v>0.17</v>
      </c>
      <c r="AB30" s="29" t="n">
        <f aca="false">'Control Panel'!D$51</f>
        <v>0.17</v>
      </c>
      <c r="AC30" s="29" t="n">
        <f aca="false">'Control Panel'!E$51</f>
        <v>0.17</v>
      </c>
      <c r="AD30" s="29" t="n">
        <f aca="false">'Control Panel'!F$51</f>
        <v>0.17</v>
      </c>
      <c r="AE30" s="29" t="n">
        <f aca="false">'Control Panel'!G$51</f>
        <v>0.17</v>
      </c>
    </row>
    <row r="31" customFormat="false" ht="18" hidden="false" customHeight="true" outlineLevel="0" collapsed="false">
      <c r="A31" s="28" t="s">
        <v>31</v>
      </c>
      <c r="B31" s="30" t="n">
        <f aca="false">B29*(1-B30)</f>
        <v>144547.665948</v>
      </c>
      <c r="C31" s="30" t="n">
        <f aca="false">C29*(1-C30)</f>
        <v>161791.9489032</v>
      </c>
      <c r="D31" s="30" t="n">
        <f aca="false">D29*(1-D30)</f>
        <v>174617.637943526</v>
      </c>
      <c r="E31" s="30" t="n">
        <f aca="false">E29*(1-E30)</f>
        <v>184831.122427016</v>
      </c>
      <c r="F31" s="30" t="n">
        <f aca="false">F29*(1-F30)</f>
        <v>191789.470565445</v>
      </c>
      <c r="G31" s="30" t="n">
        <f aca="false">G29*(1-G30)</f>
        <v>199147.923721833</v>
      </c>
      <c r="J31" s="30" t="n">
        <f aca="false">J29*(1-J30)</f>
        <v>180268.603704</v>
      </c>
      <c r="K31" s="30" t="n">
        <f aca="false">K29*(1-K30)</f>
        <v>225307.14056592</v>
      </c>
      <c r="L31" s="30" t="n">
        <f aca="false">L29*(1-L30)</f>
        <v>263827.393630416</v>
      </c>
      <c r="M31" s="30" t="n">
        <f aca="false">M29*(1-M30)</f>
        <v>298388.782196</v>
      </c>
      <c r="N31" s="30" t="n">
        <f aca="false">N29*(1-N30)</f>
        <v>325552.450644188</v>
      </c>
      <c r="O31" s="30" t="n">
        <f aca="false">O29*(1-O30)</f>
        <v>345318.135147585</v>
      </c>
      <c r="R31" s="30" t="n">
        <f aca="false">R29*(1-R30)</f>
        <v>203776.34508</v>
      </c>
      <c r="S31" s="30" t="n">
        <f aca="false">S29*(1-S30)</f>
        <v>277135.8293088</v>
      </c>
      <c r="T31" s="30" t="n">
        <f aca="false">T29*(1-T30)</f>
        <v>343984.350560256</v>
      </c>
      <c r="U31" s="30" t="n">
        <f aca="false">U29*(1-U30)</f>
        <v>406546.504318403</v>
      </c>
      <c r="V31" s="30" t="n">
        <f aca="false">V29*(1-V30)</f>
        <v>460315.558115353</v>
      </c>
      <c r="W31" s="30" t="n">
        <f aca="false">W29*(1-W30)</f>
        <v>511487.304325843</v>
      </c>
      <c r="Z31" s="30" t="n">
        <f aca="false">Z29*(1-Z30)</f>
        <v>192148.28656582</v>
      </c>
      <c r="AA31" s="30" t="n">
        <f aca="false">AA29*(1-AA30)</f>
        <v>257102.579898473</v>
      </c>
      <c r="AB31" s="30" t="n">
        <f aca="false">AB29*(1-AB30)</f>
        <v>323358.046593826</v>
      </c>
      <c r="AC31" s="30" t="n">
        <f aca="false">AC29*(1-AC30)</f>
        <v>393732.528144138</v>
      </c>
      <c r="AD31" s="30" t="n">
        <f aca="false">AD29*(1-AD30)</f>
        <v>463646.773726837</v>
      </c>
      <c r="AE31" s="30" t="n">
        <f aca="false">AE29*(1-AE30)</f>
        <v>531866.506652655</v>
      </c>
    </row>
    <row r="32" customFormat="false" ht="18" hidden="false" customHeight="true" outlineLevel="0" collapsed="false">
      <c r="A32" s="28" t="s">
        <v>32</v>
      </c>
      <c r="B32" s="29" t="n">
        <f aca="false">'Control Panel'!B$37</f>
        <v>0.015</v>
      </c>
      <c r="C32" s="29" t="n">
        <f aca="false">'Control Panel'!C$37</f>
        <v>0.017</v>
      </c>
      <c r="D32" s="29" t="n">
        <f aca="false">'Control Panel'!D$37</f>
        <v>0.019</v>
      </c>
      <c r="E32" s="29" t="n">
        <f aca="false">'Control Panel'!E$37</f>
        <v>0.021</v>
      </c>
      <c r="F32" s="29" t="n">
        <f aca="false">'Control Panel'!F$37</f>
        <v>0.022</v>
      </c>
      <c r="G32" s="29" t="n">
        <f aca="false">'Control Panel'!G$37</f>
        <v>0.022</v>
      </c>
      <c r="J32" s="29" t="n">
        <f aca="false">'Control Panel'!B$36</f>
        <v>0.015</v>
      </c>
      <c r="K32" s="29" t="n">
        <f aca="false">'Control Panel'!C$36</f>
        <v>0.017</v>
      </c>
      <c r="L32" s="29" t="n">
        <f aca="false">'Control Panel'!D$36</f>
        <v>0.019</v>
      </c>
      <c r="M32" s="29" t="n">
        <f aca="false">'Control Panel'!E$36</f>
        <v>0.021</v>
      </c>
      <c r="N32" s="29" t="n">
        <f aca="false">'Control Panel'!F$36</f>
        <v>0.022</v>
      </c>
      <c r="O32" s="29" t="n">
        <f aca="false">'Control Panel'!G$36</f>
        <v>0.022</v>
      </c>
      <c r="R32" s="29" t="n">
        <f aca="false">'Control Panel'!B$38</f>
        <v>0.015</v>
      </c>
      <c r="S32" s="29" t="n">
        <f aca="false">'Control Panel'!C$38</f>
        <v>0.017</v>
      </c>
      <c r="T32" s="29" t="n">
        <f aca="false">'Control Panel'!D$38</f>
        <v>0.019</v>
      </c>
      <c r="U32" s="29" t="n">
        <f aca="false">'Control Panel'!E$38</f>
        <v>0.021</v>
      </c>
      <c r="V32" s="29" t="n">
        <f aca="false">'Control Panel'!F$38</f>
        <v>0.022</v>
      </c>
      <c r="W32" s="29" t="n">
        <f aca="false">'Control Panel'!G$38</f>
        <v>0.022</v>
      </c>
      <c r="Z32" s="29" t="n">
        <f aca="false">'Control Panel'!B$36</f>
        <v>0.015</v>
      </c>
      <c r="AA32" s="29" t="n">
        <f aca="false">'Control Panel'!C$36</f>
        <v>0.017</v>
      </c>
      <c r="AB32" s="29" t="n">
        <f aca="false">'Control Panel'!D$36</f>
        <v>0.019</v>
      </c>
      <c r="AC32" s="29" t="n">
        <f aca="false">'Control Panel'!E$36</f>
        <v>0.021</v>
      </c>
      <c r="AD32" s="29" t="n">
        <f aca="false">'Control Panel'!F$36</f>
        <v>0.022</v>
      </c>
      <c r="AE32" s="29" t="n">
        <f aca="false">'Control Panel'!G$36</f>
        <v>0.022</v>
      </c>
    </row>
    <row r="33" customFormat="false" ht="18" hidden="false" customHeight="true" outlineLevel="0" collapsed="false">
      <c r="A33" s="28" t="s">
        <v>33</v>
      </c>
      <c r="B33" s="30" t="n">
        <f aca="false">B27*B32</f>
        <v>4638.8853</v>
      </c>
      <c r="C33" s="30" t="n">
        <f aca="false">C27*C32</f>
        <v>6098.5878744</v>
      </c>
      <c r="D33" s="30" t="n">
        <f aca="false">D27*D32</f>
        <v>7633.997056896</v>
      </c>
      <c r="E33" s="30" t="n">
        <f aca="false">E27*E32</f>
        <v>9281.3332639104</v>
      </c>
      <c r="F33" s="30" t="n">
        <f aca="false">F27*F32</f>
        <v>10501.1656357386</v>
      </c>
      <c r="G33" s="30" t="n">
        <f aca="false">G27*G32</f>
        <v>11131.2355738829</v>
      </c>
      <c r="J33" s="30" t="n">
        <f aca="false">J27*J32</f>
        <v>5171.2164</v>
      </c>
      <c r="K33" s="30" t="n">
        <f aca="false">K27*K32</f>
        <v>7443.1041384</v>
      </c>
      <c r="L33" s="30" t="n">
        <f aca="false">L27*L32</f>
        <v>10065.703773048</v>
      </c>
      <c r="M33" s="30" t="n">
        <f aca="false">M27*M32</f>
        <v>13016.5443001994</v>
      </c>
      <c r="N33" s="30" t="n">
        <f aca="false">N27*N32</f>
        <v>15409.1091096647</v>
      </c>
      <c r="O33" s="30" t="n">
        <f aca="false">O27*O32</f>
        <v>16950.0200206311</v>
      </c>
      <c r="R33" s="30" t="n">
        <f aca="false">R27*R32</f>
        <v>5513.42925</v>
      </c>
      <c r="S33" s="30" t="n">
        <f aca="false">S27*S32</f>
        <v>8498.032284</v>
      </c>
      <c r="T33" s="30" t="n">
        <f aca="false">T27*T32</f>
        <v>12157.18500864</v>
      </c>
      <c r="U33" s="30" t="n">
        <f aca="false">U27*U32</f>
        <v>16393.0042063872</v>
      </c>
      <c r="V33" s="30" t="n">
        <f aca="false">V27*V32</f>
        <v>20093.1394415432</v>
      </c>
      <c r="W33" s="30" t="n">
        <f aca="false">W27*W32</f>
        <v>22705.2475689438</v>
      </c>
      <c r="Z33" s="30" t="n">
        <f aca="false">Z27*Z32</f>
        <v>5511.99904090133</v>
      </c>
      <c r="AA33" s="30" t="n">
        <f aca="false">AA27*AA32</f>
        <v>8493.47815443847</v>
      </c>
      <c r="AB33" s="30" t="n">
        <f aca="false">AB27*AB32</f>
        <v>12336.953584905</v>
      </c>
      <c r="AC33" s="30" t="n">
        <f aca="false">AC27*AC32</f>
        <v>17175.702307908</v>
      </c>
      <c r="AD33" s="30" t="n">
        <f aca="false">AD27*AD32</f>
        <v>21945.4152796696</v>
      </c>
      <c r="AE33" s="30" t="n">
        <f aca="false">AE27*AE32</f>
        <v>26106.7897062883</v>
      </c>
    </row>
    <row r="34" customFormat="false" ht="18" hidden="false" customHeight="true" outlineLevel="0" collapsed="false">
      <c r="A34" s="28" t="s">
        <v>34</v>
      </c>
      <c r="B34" s="29" t="n">
        <f aca="false">'Control Panel'!B$42</f>
        <v>0.04</v>
      </c>
      <c r="C34" s="29" t="n">
        <f aca="false">'Control Panel'!C$42</f>
        <v>0.04</v>
      </c>
      <c r="D34" s="29" t="n">
        <f aca="false">'Control Panel'!D$42</f>
        <v>0.04</v>
      </c>
      <c r="E34" s="29" t="n">
        <f aca="false">'Control Panel'!E$42</f>
        <v>0.04</v>
      </c>
      <c r="F34" s="29" t="n">
        <f aca="false">'Control Panel'!F$42</f>
        <v>0.04</v>
      </c>
      <c r="G34" s="29" t="n">
        <f aca="false">'Control Panel'!G$42</f>
        <v>0.04</v>
      </c>
      <c r="J34" s="29" t="n">
        <f aca="false">'Control Panel'!B$41</f>
        <v>0.03</v>
      </c>
      <c r="K34" s="29" t="n">
        <f aca="false">'Control Panel'!C$41</f>
        <v>0.032</v>
      </c>
      <c r="L34" s="29" t="n">
        <f aca="false">'Control Panel'!D$41</f>
        <v>0.034</v>
      </c>
      <c r="M34" s="29" t="n">
        <f aca="false">'Control Panel'!E$41</f>
        <v>0.035</v>
      </c>
      <c r="N34" s="29" t="n">
        <f aca="false">'Control Panel'!F$41</f>
        <v>0.035</v>
      </c>
      <c r="O34" s="29" t="n">
        <f aca="false">'Control Panel'!G$41</f>
        <v>0.035</v>
      </c>
      <c r="R34" s="29" t="n">
        <f aca="false">'Control Panel'!B$43</f>
        <v>0.028</v>
      </c>
      <c r="S34" s="29" t="n">
        <f aca="false">'Control Panel'!C$43</f>
        <v>0.03</v>
      </c>
      <c r="T34" s="29" t="n">
        <f aca="false">'Control Panel'!D$43</f>
        <v>0.032</v>
      </c>
      <c r="U34" s="29" t="n">
        <f aca="false">'Control Panel'!E$43</f>
        <v>0.033</v>
      </c>
      <c r="V34" s="29" t="n">
        <f aca="false">'Control Panel'!F$43</f>
        <v>0.033</v>
      </c>
      <c r="W34" s="29" t="n">
        <f aca="false">'Control Panel'!G$43</f>
        <v>0.033</v>
      </c>
      <c r="Z34" s="29" t="n">
        <f aca="false">'Control Panel'!B$41</f>
        <v>0.03</v>
      </c>
      <c r="AA34" s="29" t="n">
        <f aca="false">'Control Panel'!C$41</f>
        <v>0.032</v>
      </c>
      <c r="AB34" s="29" t="n">
        <f aca="false">'Control Panel'!D$41</f>
        <v>0.034</v>
      </c>
      <c r="AC34" s="29" t="n">
        <f aca="false">'Control Panel'!E$41</f>
        <v>0.035</v>
      </c>
      <c r="AD34" s="29" t="n">
        <f aca="false">'Control Panel'!F$41</f>
        <v>0.035</v>
      </c>
      <c r="AE34" s="29" t="n">
        <f aca="false">'Control Panel'!G$41</f>
        <v>0.035</v>
      </c>
    </row>
    <row r="35" customFormat="false" ht="18" hidden="false" customHeight="true" outlineLevel="0" collapsed="false">
      <c r="A35" s="28" t="s">
        <v>35</v>
      </c>
      <c r="B35" s="30" t="n">
        <f aca="false">B27*B34</f>
        <v>12370.3608</v>
      </c>
      <c r="C35" s="30" t="n">
        <f aca="false">C27*C34</f>
        <v>14349.618528</v>
      </c>
      <c r="D35" s="30" t="n">
        <f aca="false">D27*D34</f>
        <v>16071.57275136</v>
      </c>
      <c r="E35" s="30" t="n">
        <f aca="false">E27*E34</f>
        <v>17678.730026496</v>
      </c>
      <c r="F35" s="30" t="n">
        <f aca="false">F27*F34</f>
        <v>19093.0284286157</v>
      </c>
      <c r="G35" s="30" t="n">
        <f aca="false">G27*G34</f>
        <v>20238.6101343326</v>
      </c>
      <c r="J35" s="30" t="n">
        <f aca="false">J27*J34</f>
        <v>10342.4328</v>
      </c>
      <c r="K35" s="30" t="n">
        <f aca="false">K27*K34</f>
        <v>14010.5489664</v>
      </c>
      <c r="L35" s="30" t="n">
        <f aca="false">L27*L34</f>
        <v>18012.312014928</v>
      </c>
      <c r="M35" s="30" t="n">
        <f aca="false">M27*M34</f>
        <v>21694.2405003324</v>
      </c>
      <c r="N35" s="30" t="n">
        <f aca="false">N27*N34</f>
        <v>24514.4917653756</v>
      </c>
      <c r="O35" s="30" t="n">
        <f aca="false">O27*O34</f>
        <v>26965.9409419132</v>
      </c>
      <c r="R35" s="30" t="n">
        <f aca="false">R27*R34</f>
        <v>10291.7346</v>
      </c>
      <c r="S35" s="30" t="n">
        <f aca="false">S27*S34</f>
        <v>14996.52756</v>
      </c>
      <c r="T35" s="30" t="n">
        <f aca="false">T27*T34</f>
        <v>20475.25896192</v>
      </c>
      <c r="U35" s="30" t="n">
        <f aca="false">U27*U34</f>
        <v>25760.4351814656</v>
      </c>
      <c r="V35" s="30" t="n">
        <f aca="false">V27*V34</f>
        <v>30139.7091623148</v>
      </c>
      <c r="W35" s="30" t="n">
        <f aca="false">W27*W34</f>
        <v>34057.8713534157</v>
      </c>
      <c r="Z35" s="30" t="n">
        <f aca="false">Z27*Z34</f>
        <v>11023.9980818027</v>
      </c>
      <c r="AA35" s="30" t="n">
        <f aca="false">AA27*AA34</f>
        <v>15987.7235848254</v>
      </c>
      <c r="AB35" s="30" t="n">
        <f aca="false">AB27*AB34</f>
        <v>22076.6537835142</v>
      </c>
      <c r="AC35" s="30" t="n">
        <f aca="false">AC27*AC34</f>
        <v>28626.1705131799</v>
      </c>
      <c r="AD35" s="30" t="n">
        <f aca="false">AD27*AD34</f>
        <v>34913.1606722016</v>
      </c>
      <c r="AE35" s="30" t="n">
        <f aca="false">AE27*AE34</f>
        <v>41533.529078186</v>
      </c>
    </row>
    <row r="36" customFormat="false" ht="18" hidden="false" customHeight="true" outlineLevel="0" collapsed="false">
      <c r="A36" s="28" t="s">
        <v>36</v>
      </c>
      <c r="B36" s="29" t="n">
        <f aca="false">'Control Panel'!B$47</f>
        <v>0.13</v>
      </c>
      <c r="C36" s="29" t="n">
        <f aca="false">'Control Panel'!C$47</f>
        <v>0.13</v>
      </c>
      <c r="D36" s="29" t="n">
        <f aca="false">'Control Panel'!D$47</f>
        <v>0.125</v>
      </c>
      <c r="E36" s="29" t="n">
        <f aca="false">'Control Panel'!E$47</f>
        <v>0.12</v>
      </c>
      <c r="F36" s="29" t="n">
        <f aca="false">'Control Panel'!F$47</f>
        <v>0.115</v>
      </c>
      <c r="G36" s="29" t="n">
        <f aca="false">'Control Panel'!G$47</f>
        <v>0.11</v>
      </c>
      <c r="J36" s="29" t="n">
        <f aca="false">'Control Panel'!B$46</f>
        <v>0.11</v>
      </c>
      <c r="K36" s="29" t="n">
        <f aca="false">'Control Panel'!C$46</f>
        <v>0.105</v>
      </c>
      <c r="L36" s="29" t="n">
        <f aca="false">'Control Panel'!D$46</f>
        <v>0.1</v>
      </c>
      <c r="M36" s="29" t="n">
        <f aca="false">'Control Panel'!E$46</f>
        <v>0.095</v>
      </c>
      <c r="N36" s="29" t="n">
        <f aca="false">'Control Panel'!F$46</f>
        <v>0.09</v>
      </c>
      <c r="O36" s="29" t="n">
        <f aca="false">'Control Panel'!G$46</f>
        <v>0.09</v>
      </c>
      <c r="R36" s="29" t="n">
        <f aca="false">'Control Panel'!B$48</f>
        <v>0.1</v>
      </c>
      <c r="S36" s="29" t="n">
        <f aca="false">'Control Panel'!C$48</f>
        <v>0.095</v>
      </c>
      <c r="T36" s="29" t="n">
        <f aca="false">'Control Panel'!D$48</f>
        <v>0.09</v>
      </c>
      <c r="U36" s="29" t="n">
        <f aca="false">'Control Panel'!E$48</f>
        <v>0.085</v>
      </c>
      <c r="V36" s="29" t="n">
        <f aca="false">'Control Panel'!F$48</f>
        <v>0.08</v>
      </c>
      <c r="W36" s="29" t="n">
        <f aca="false">'Control Panel'!G$48</f>
        <v>0.08</v>
      </c>
      <c r="Z36" s="29" t="n">
        <f aca="false">'Control Panel'!B$46</f>
        <v>0.11</v>
      </c>
      <c r="AA36" s="29" t="n">
        <f aca="false">'Control Panel'!C$46</f>
        <v>0.105</v>
      </c>
      <c r="AB36" s="29" t="n">
        <f aca="false">'Control Panel'!D$46</f>
        <v>0.1</v>
      </c>
      <c r="AC36" s="29" t="n">
        <f aca="false">'Control Panel'!E$46</f>
        <v>0.095</v>
      </c>
      <c r="AD36" s="29" t="n">
        <f aca="false">'Control Panel'!F$46</f>
        <v>0.09</v>
      </c>
      <c r="AE36" s="29" t="n">
        <f aca="false">'Control Panel'!G$46</f>
        <v>0.09</v>
      </c>
    </row>
    <row r="37" customFormat="false" ht="18" hidden="false" customHeight="true" outlineLevel="0" collapsed="false">
      <c r="A37" s="28" t="s">
        <v>37</v>
      </c>
      <c r="B37" s="30" t="n">
        <f aca="false">B27*B36</f>
        <v>40203.6726</v>
      </c>
      <c r="C37" s="30" t="n">
        <f aca="false">C27*C36</f>
        <v>46636.260216</v>
      </c>
      <c r="D37" s="30" t="n">
        <f aca="false">D27*D36</f>
        <v>50223.664848</v>
      </c>
      <c r="E37" s="30" t="n">
        <f aca="false">E27*E36</f>
        <v>53036.190079488</v>
      </c>
      <c r="F37" s="30" t="n">
        <f aca="false">F27*F36</f>
        <v>54892.4567322701</v>
      </c>
      <c r="G37" s="30" t="n">
        <f aca="false">G27*G36</f>
        <v>55656.1778694147</v>
      </c>
      <c r="J37" s="30" t="n">
        <f aca="false">J27*J36</f>
        <v>37922.2536</v>
      </c>
      <c r="K37" s="30" t="n">
        <f aca="false">K27*K36</f>
        <v>45972.113796</v>
      </c>
      <c r="L37" s="30" t="n">
        <f aca="false">L27*L36</f>
        <v>52977.3882792</v>
      </c>
      <c r="M37" s="30" t="n">
        <f aca="false">M27*M36</f>
        <v>58884.3670723308</v>
      </c>
      <c r="N37" s="30" t="n">
        <f aca="false">N27*N36</f>
        <v>63037.2645395373</v>
      </c>
      <c r="O37" s="30" t="n">
        <f aca="false">O27*O36</f>
        <v>69340.990993491</v>
      </c>
      <c r="R37" s="30" t="n">
        <f aca="false">R27*R36</f>
        <v>36756.195</v>
      </c>
      <c r="S37" s="30" t="n">
        <f aca="false">S27*S36</f>
        <v>47489.00394</v>
      </c>
      <c r="T37" s="30" t="n">
        <f aca="false">T27*T36</f>
        <v>57586.6658304</v>
      </c>
      <c r="U37" s="30" t="n">
        <f aca="false">U27*U36</f>
        <v>66352.636073472</v>
      </c>
      <c r="V37" s="30" t="n">
        <f aca="false">V27*V36</f>
        <v>73065.9616056115</v>
      </c>
      <c r="W37" s="30" t="n">
        <f aca="false">W27*W36</f>
        <v>82564.536614341</v>
      </c>
      <c r="Z37" s="30" t="n">
        <f aca="false">Z27*Z36</f>
        <v>40421.3262999431</v>
      </c>
      <c r="AA37" s="30" t="n">
        <f aca="false">AA27*AA36</f>
        <v>52459.7180127082</v>
      </c>
      <c r="AB37" s="30" t="n">
        <f aca="false">AB27*AB36</f>
        <v>64931.3346573948</v>
      </c>
      <c r="AC37" s="30" t="n">
        <f aca="false">AC27*AC36</f>
        <v>77699.6056786313</v>
      </c>
      <c r="AD37" s="30" t="n">
        <f aca="false">AD27*AD36</f>
        <v>89776.6988713755</v>
      </c>
      <c r="AE37" s="30" t="n">
        <f aca="false">AE27*AE36</f>
        <v>106800.503343907</v>
      </c>
    </row>
    <row r="38" customFormat="false" ht="18" hidden="false" customHeight="true" outlineLevel="0" collapsed="false">
      <c r="A38" s="28" t="s">
        <v>38</v>
      </c>
      <c r="B38" s="30" t="n">
        <f aca="false">B37-'Historical Financials'!$D$18</f>
        <v>12664.6726</v>
      </c>
      <c r="C38" s="30" t="n">
        <f aca="false">C37-B37</f>
        <v>6432.587616</v>
      </c>
      <c r="D38" s="30" t="n">
        <f aca="false">D37-C37</f>
        <v>3587.40463200001</v>
      </c>
      <c r="E38" s="30" t="n">
        <f aca="false">E37-D37</f>
        <v>2812.52523148801</v>
      </c>
      <c r="F38" s="30" t="n">
        <f aca="false">F37-E37</f>
        <v>1856.26665278208</v>
      </c>
      <c r="G38" s="30" t="n">
        <f aca="false">G37-F37</f>
        <v>763.721137144625</v>
      </c>
      <c r="J38" s="30" t="n">
        <f aca="false">J37-'Historical Financials'!$D$18</f>
        <v>10383.2536</v>
      </c>
      <c r="K38" s="30" t="n">
        <f aca="false">K37-J37</f>
        <v>8049.86019599999</v>
      </c>
      <c r="L38" s="30" t="n">
        <f aca="false">L37-K37</f>
        <v>7005.2744832</v>
      </c>
      <c r="M38" s="30" t="n">
        <f aca="false">M37-L37</f>
        <v>5906.9787931308</v>
      </c>
      <c r="N38" s="30" t="n">
        <f aca="false">N37-M37</f>
        <v>4152.89746720648</v>
      </c>
      <c r="O38" s="30" t="n">
        <f aca="false">O37-N37</f>
        <v>6303.72645395374</v>
      </c>
      <c r="R38" s="30" t="n">
        <f aca="false">R37-'Historical Financials'!$D$18</f>
        <v>9217.195</v>
      </c>
      <c r="S38" s="30" t="n">
        <f aca="false">S37-R37</f>
        <v>10732.80894</v>
      </c>
      <c r="T38" s="30" t="n">
        <f aca="false">T37-S37</f>
        <v>10097.6618904</v>
      </c>
      <c r="U38" s="30" t="n">
        <f aca="false">U37-T37</f>
        <v>8765.97024307201</v>
      </c>
      <c r="V38" s="30" t="n">
        <f aca="false">V37-U37</f>
        <v>6713.32553213951</v>
      </c>
      <c r="W38" s="30" t="n">
        <f aca="false">W37-V37</f>
        <v>9498.57500872949</v>
      </c>
      <c r="Z38" s="30" t="n">
        <f aca="false">Z37-'Historical Financials'!$D$18</f>
        <v>12882.3262999431</v>
      </c>
      <c r="AA38" s="30" t="n">
        <f aca="false">AA37-Z37</f>
        <v>12038.3917127651</v>
      </c>
      <c r="AB38" s="30" t="n">
        <f aca="false">AB37-AA37</f>
        <v>12471.6166446865</v>
      </c>
      <c r="AC38" s="30" t="n">
        <f aca="false">AC37-AB37</f>
        <v>12768.2710212365</v>
      </c>
      <c r="AD38" s="30" t="n">
        <f aca="false">AD37-AC37</f>
        <v>12077.0931927442</v>
      </c>
      <c r="AE38" s="30" t="n">
        <f aca="false">AE37-AD37</f>
        <v>17023.8044725312</v>
      </c>
    </row>
    <row r="39" customFormat="false" ht="18" hidden="false" customHeight="true" outlineLevel="0" collapsed="false">
      <c r="A39" s="28" t="s">
        <v>39</v>
      </c>
      <c r="B39" s="30" t="n">
        <f aca="false">B31+B33-B35-B38</f>
        <v>124151.517848</v>
      </c>
      <c r="C39" s="30" t="n">
        <f aca="false">C31+C33-C35-C38</f>
        <v>147108.3306336</v>
      </c>
      <c r="D39" s="30" t="n">
        <f aca="false">D31+D33-D35-D38</f>
        <v>162592.657617062</v>
      </c>
      <c r="E39" s="30" t="n">
        <f aca="false">E31+E33-E35-E38</f>
        <v>173621.200432942</v>
      </c>
      <c r="F39" s="30" t="n">
        <f aca="false">F31+F33-F35-F38</f>
        <v>181341.341119785</v>
      </c>
      <c r="G39" s="30" t="n">
        <f aca="false">G31+G33-G35-G38</f>
        <v>189276.828024239</v>
      </c>
      <c r="J39" s="30" t="n">
        <f aca="false">J31+J33-J35-J38</f>
        <v>164714.133704</v>
      </c>
      <c r="K39" s="30" t="n">
        <f aca="false">K31+K33-K35-K38</f>
        <v>210689.83554192</v>
      </c>
      <c r="L39" s="30" t="n">
        <f aca="false">L31+L33-L35-L38</f>
        <v>248875.510905336</v>
      </c>
      <c r="M39" s="30" t="n">
        <f aca="false">M31+M33-M35-M38</f>
        <v>283804.107202737</v>
      </c>
      <c r="N39" s="30" t="n">
        <f aca="false">N31+N33-N35-N38</f>
        <v>312294.170521271</v>
      </c>
      <c r="O39" s="30" t="n">
        <f aca="false">O31+O33-O35-O38</f>
        <v>328998.487772349</v>
      </c>
      <c r="R39" s="30" t="n">
        <f aca="false">R31+R33-R35-R38</f>
        <v>189780.84473</v>
      </c>
      <c r="S39" s="30" t="n">
        <f aca="false">S31+S33-S35-S38</f>
        <v>259904.5250928</v>
      </c>
      <c r="T39" s="30" t="n">
        <f aca="false">T31+T33-T35-T38</f>
        <v>325568.614716576</v>
      </c>
      <c r="U39" s="30" t="n">
        <f aca="false">U31+U33-U35-U38</f>
        <v>388413.103100252</v>
      </c>
      <c r="V39" s="30" t="n">
        <f aca="false">V31+V33-V35-V38</f>
        <v>443555.662862441</v>
      </c>
      <c r="W39" s="30" t="n">
        <f aca="false">W31+W33-W35-W38</f>
        <v>490636.105532641</v>
      </c>
      <c r="Z39" s="30" t="n">
        <f aca="false">Z31+Z33-Z35-Z38</f>
        <v>173753.961224976</v>
      </c>
      <c r="AA39" s="30" t="n">
        <f aca="false">AA31+AA33-AA35-AA38</f>
        <v>237569.942755321</v>
      </c>
      <c r="AB39" s="30" t="n">
        <f aca="false">AB31+AB33-AB35-AB38</f>
        <v>301146.72975053</v>
      </c>
      <c r="AC39" s="30" t="n">
        <f aca="false">AC31+AC33-AC35-AC38</f>
        <v>369513.788917629</v>
      </c>
      <c r="AD39" s="30" t="n">
        <f aca="false">AD31+AD33-AD35-AD38</f>
        <v>438601.935141561</v>
      </c>
      <c r="AE39" s="30" t="n">
        <f aca="false">AE31+AE33-AE35-AE38</f>
        <v>499415.962808226</v>
      </c>
    </row>
    <row r="40" customFormat="false" ht="18" hidden="false" customHeight="true" outlineLevel="0" collapsed="false">
      <c r="A40" s="28" t="s">
        <v>40</v>
      </c>
      <c r="B40" s="31" t="n">
        <v>0.5</v>
      </c>
      <c r="C40" s="31" t="n">
        <v>1.5</v>
      </c>
      <c r="D40" s="31" t="n">
        <v>2.5</v>
      </c>
      <c r="E40" s="31" t="n">
        <v>3.5</v>
      </c>
      <c r="F40" s="31" t="n">
        <v>4.5</v>
      </c>
      <c r="G40" s="31" t="n">
        <v>5.5</v>
      </c>
      <c r="J40" s="31" t="n">
        <v>0.5</v>
      </c>
      <c r="K40" s="31" t="n">
        <v>1.5</v>
      </c>
      <c r="L40" s="31" t="n">
        <v>2.5</v>
      </c>
      <c r="M40" s="31" t="n">
        <v>3.5</v>
      </c>
      <c r="N40" s="31" t="n">
        <v>4.5</v>
      </c>
      <c r="O40" s="31" t="n">
        <v>5.5</v>
      </c>
      <c r="R40" s="31" t="n">
        <v>0.5</v>
      </c>
      <c r="S40" s="31" t="n">
        <v>1.5</v>
      </c>
      <c r="T40" s="31" t="n">
        <v>2.5</v>
      </c>
      <c r="U40" s="31" t="n">
        <v>3.5</v>
      </c>
      <c r="V40" s="31" t="n">
        <v>4.5</v>
      </c>
      <c r="W40" s="31" t="n">
        <v>5.5</v>
      </c>
      <c r="Z40" s="31" t="n">
        <v>0.5</v>
      </c>
      <c r="AA40" s="31" t="n">
        <v>1.5</v>
      </c>
      <c r="AB40" s="31" t="n">
        <v>2.5</v>
      </c>
      <c r="AC40" s="31" t="n">
        <v>3.5</v>
      </c>
      <c r="AD40" s="31" t="n">
        <v>4.5</v>
      </c>
      <c r="AE40" s="31" t="n">
        <v>5.5</v>
      </c>
    </row>
    <row r="41" customFormat="false" ht="18" hidden="false" customHeight="true" outlineLevel="0" collapsed="false">
      <c r="A41" s="28" t="s">
        <v>41</v>
      </c>
      <c r="B41" s="30" t="n">
        <f aca="false">B39/(1+B$43)^B40</f>
        <v>117241.363039035</v>
      </c>
      <c r="C41" s="30" t="n">
        <f aca="false">C39/(1+B$43)^C40</f>
        <v>123886.431452932</v>
      </c>
      <c r="D41" s="30" t="n">
        <f aca="false">D39/(1+B$43)^D40</f>
        <v>122108.263890146</v>
      </c>
      <c r="E41" s="30" t="n">
        <f aca="false">E39/(1+B$43)^E40</f>
        <v>116279.868559768</v>
      </c>
      <c r="F41" s="30" t="n">
        <f aca="false">F39/(1+B$43)^F40</f>
        <v>108306.931431898</v>
      </c>
      <c r="G41" s="30" t="n">
        <f aca="false">G39/(1+B$43)^G40</f>
        <v>100812.533314261</v>
      </c>
      <c r="J41" s="30" t="n">
        <f aca="false">J39/(1+J$43)^J40</f>
        <v>156597.205436689</v>
      </c>
      <c r="K41" s="30" t="n">
        <f aca="false">K39/(1+J$43)^K40</f>
        <v>181051.86691258</v>
      </c>
      <c r="L41" s="30" t="n">
        <f aca="false">L39/(1+J$43)^L40</f>
        <v>193307.128678061</v>
      </c>
      <c r="M41" s="30" t="n">
        <f aca="false">M39/(1+J$43)^M40</f>
        <v>199246.482849636</v>
      </c>
      <c r="N41" s="30" t="n">
        <f aca="false">N39/(1+J$43)^N40</f>
        <v>198171.933768242</v>
      </c>
      <c r="O41" s="30" t="n">
        <f aca="false">O39/(1+J$43)^O40</f>
        <v>188702.847507578</v>
      </c>
      <c r="R41" s="30" t="n">
        <f aca="false">R39/(1+R$43)^R40</f>
        <v>181043.349643033</v>
      </c>
      <c r="S41" s="30" t="n">
        <f aca="false">S39/(1+R$43)^S40</f>
        <v>225633.948586416</v>
      </c>
      <c r="T41" s="30" t="n">
        <f aca="false">T39/(1+R$43)^T40</f>
        <v>257213.36797982</v>
      </c>
      <c r="U41" s="30" t="n">
        <f aca="false">U39/(1+R$43)^U40</f>
        <v>279257.778393594</v>
      </c>
      <c r="V41" s="30" t="n">
        <f aca="false">V39/(1+R$43)^V40</f>
        <v>290215.054010348</v>
      </c>
      <c r="W41" s="30" t="n">
        <f aca="false">W39/(1+R$43)^W40</f>
        <v>292140.463777054</v>
      </c>
      <c r="Z41" s="30" t="n">
        <f aca="false">Z39/(1+Z$43)^Z40</f>
        <v>165191.560368965</v>
      </c>
      <c r="AA41" s="30" t="n">
        <f aca="false">AA39/(1+Z$43)^AA40</f>
        <v>204150.720168973</v>
      </c>
      <c r="AB41" s="30" t="n">
        <f aca="false">AB39/(1+Z$43)^AB40</f>
        <v>233907.343583538</v>
      </c>
      <c r="AC41" s="30" t="n">
        <f aca="false">AC39/(1+Z$43)^AC40</f>
        <v>259419.511338103</v>
      </c>
      <c r="AD41" s="30" t="n">
        <f aca="false">AD39/(1+Z$43)^AD40</f>
        <v>278322.81818266</v>
      </c>
      <c r="AE41" s="30" t="n">
        <f aca="false">AE39/(1+Z$43)^AE40</f>
        <v>286448.776438939</v>
      </c>
    </row>
    <row r="42" customFormat="false" ht="18" hidden="false" customHeight="true" outlineLevel="0" collapsed="false"/>
    <row r="43" customFormat="false" ht="18" hidden="false" customHeight="true" outlineLevel="0" collapsed="false">
      <c r="A43" s="28" t="s">
        <v>15</v>
      </c>
      <c r="B43" s="32" t="n">
        <f aca="false">'Control Panel'!$B$77+0.015</f>
        <v>0.121353</v>
      </c>
      <c r="J43" s="32" t="n">
        <f aca="false">'Control Panel'!$B$77+0</f>
        <v>0.106353</v>
      </c>
      <c r="R43" s="32" t="n">
        <f aca="false">'Control Panel'!$B$77+-0.0075</f>
        <v>0.098853</v>
      </c>
      <c r="Z43" s="32" t="n">
        <f aca="false">'Control Panel'!$B$77+0</f>
        <v>0.106353</v>
      </c>
    </row>
    <row r="44" customFormat="false" ht="18" hidden="false" customHeight="true" outlineLevel="0" collapsed="false">
      <c r="A44" s="28" t="s">
        <v>16</v>
      </c>
      <c r="B44" s="32" t="n">
        <v>0.025</v>
      </c>
      <c r="J44" s="32" t="n">
        <v>0.03</v>
      </c>
      <c r="R44" s="32" t="n">
        <v>0.035</v>
      </c>
      <c r="Z44" s="32" t="n">
        <v>0.03</v>
      </c>
    </row>
    <row r="45" customFormat="false" ht="18" hidden="false" customHeight="true" outlineLevel="0" collapsed="false">
      <c r="A45" s="28" t="s">
        <v>42</v>
      </c>
      <c r="B45" s="33" t="n">
        <f aca="false">G39*(1+B44)</f>
        <v>194008.748724845</v>
      </c>
      <c r="J45" s="33" t="n">
        <f aca="false">O39*(1+J44)</f>
        <v>338868.44240552</v>
      </c>
      <c r="R45" s="33" t="n">
        <f aca="false">W39*(1+R44)</f>
        <v>507808.369226284</v>
      </c>
      <c r="Z45" s="33" t="n">
        <f aca="false">AE39*(1+Z44)</f>
        <v>514398.441692473</v>
      </c>
    </row>
    <row r="46" customFormat="false" ht="18" hidden="false" customHeight="true" outlineLevel="0" collapsed="false">
      <c r="A46" s="28" t="s">
        <v>43</v>
      </c>
      <c r="B46" s="33" t="n">
        <f aca="false">B45/(B43-B44)</f>
        <v>2013520.58290707</v>
      </c>
      <c r="J46" s="33" t="n">
        <f aca="false">J45/(J43-J44)</f>
        <v>4438181.111489</v>
      </c>
      <c r="R46" s="33" t="n">
        <f aca="false">R45/(R43-R44)</f>
        <v>7952772.29302122</v>
      </c>
      <c r="Z46" s="33" t="n">
        <f aca="false">Z45/(Z43-Z44)</f>
        <v>6737108.45274545</v>
      </c>
    </row>
    <row r="47" customFormat="false" ht="18" hidden="false" customHeight="true" outlineLevel="0" collapsed="false">
      <c r="A47" s="28" t="s">
        <v>44</v>
      </c>
      <c r="B47" s="33" t="n">
        <f aca="false">B46/(1+B43)^6</f>
        <v>1012749.36096393</v>
      </c>
      <c r="J47" s="33" t="n">
        <f aca="false">J46/(1+J43)^6</f>
        <v>2420152.39380764</v>
      </c>
      <c r="R47" s="33" t="n">
        <f aca="false">R46/(1+R43)^6</f>
        <v>4517321.06274029</v>
      </c>
      <c r="Z47" s="33" t="n">
        <f aca="false">Z46/(1+Z43)^6</f>
        <v>3673763.80991882</v>
      </c>
    </row>
    <row r="48" customFormat="false" ht="18" hidden="false" customHeight="true" outlineLevel="0" collapsed="false">
      <c r="A48" s="28" t="s">
        <v>45</v>
      </c>
      <c r="B48" s="33" t="n">
        <f aca="false">SUM(B41:G41)</f>
        <v>688635.39168804</v>
      </c>
      <c r="J48" s="33" t="n">
        <f aca="false">SUM(J41:O41)</f>
        <v>1117077.46515279</v>
      </c>
      <c r="R48" s="33" t="n">
        <f aca="false">SUM(R41:W41)</f>
        <v>1525503.96239026</v>
      </c>
      <c r="Z48" s="33" t="n">
        <f aca="false">SUM(Z41:AE41)</f>
        <v>1427440.73008118</v>
      </c>
    </row>
    <row r="49" customFormat="false" ht="18" hidden="false" customHeight="true" outlineLevel="0" collapsed="false">
      <c r="A49" s="28" t="s">
        <v>18</v>
      </c>
      <c r="B49" s="34" t="n">
        <f aca="false">B47+B48</f>
        <v>1701384.75265197</v>
      </c>
      <c r="J49" s="34" t="n">
        <f aca="false">J47+J48</f>
        <v>3537229.85896043</v>
      </c>
      <c r="R49" s="34" t="n">
        <f aca="false">R47+R48</f>
        <v>6042825.02513055</v>
      </c>
      <c r="Z49" s="34" t="n">
        <f aca="false">Z47+Z48</f>
        <v>5101204.54</v>
      </c>
    </row>
    <row r="50" customFormat="false" ht="18" hidden="false" customHeight="true" outlineLevel="0" collapsed="false">
      <c r="A50" s="28" t="s">
        <v>46</v>
      </c>
      <c r="B50" s="33" t="n">
        <f aca="false">'Control Panel'!$B$85</f>
        <v>-68224</v>
      </c>
      <c r="J50" s="33" t="n">
        <f aca="false">'Control Panel'!$B$85</f>
        <v>-68224</v>
      </c>
      <c r="R50" s="33" t="n">
        <f aca="false">'Control Panel'!$B$85</f>
        <v>-68224</v>
      </c>
      <c r="Z50" s="33" t="n">
        <f aca="false">'Control Panel'!$B$85</f>
        <v>-68224</v>
      </c>
    </row>
    <row r="51" customFormat="false" ht="18" hidden="false" customHeight="true" outlineLevel="0" collapsed="false">
      <c r="A51" s="28" t="s">
        <v>47</v>
      </c>
      <c r="B51" s="33" t="n">
        <f aca="false">'Control Panel'!$B$87</f>
        <v>0</v>
      </c>
      <c r="J51" s="33" t="n">
        <f aca="false">'Control Panel'!$B$87</f>
        <v>0</v>
      </c>
      <c r="R51" s="33" t="n">
        <f aca="false">'Control Panel'!$B$87</f>
        <v>0</v>
      </c>
      <c r="Z51" s="33" t="n">
        <f aca="false">'Control Panel'!$B$87</f>
        <v>0</v>
      </c>
    </row>
    <row r="52" customFormat="false" ht="18" hidden="false" customHeight="true" outlineLevel="0" collapsed="false">
      <c r="A52" s="28" t="s">
        <v>48</v>
      </c>
      <c r="B52" s="33" t="n">
        <f aca="false">'Control Panel'!$B$88</f>
        <v>0</v>
      </c>
      <c r="J52" s="33" t="n">
        <f aca="false">'Control Panel'!$B$88</f>
        <v>0</v>
      </c>
      <c r="R52" s="33" t="n">
        <f aca="false">'Control Panel'!$B$88</f>
        <v>0</v>
      </c>
      <c r="Z52" s="33" t="n">
        <f aca="false">'Control Panel'!$B$88</f>
        <v>0</v>
      </c>
    </row>
    <row r="53" customFormat="false" ht="18" hidden="false" customHeight="true" outlineLevel="0" collapsed="false">
      <c r="A53" s="28" t="s">
        <v>49</v>
      </c>
      <c r="B53" s="33" t="n">
        <f aca="false">'Control Panel'!$B$89</f>
        <v>0</v>
      </c>
      <c r="J53" s="33" t="n">
        <f aca="false">'Control Panel'!$B$89</f>
        <v>0</v>
      </c>
      <c r="R53" s="33" t="n">
        <f aca="false">'Control Panel'!$B$89</f>
        <v>0</v>
      </c>
      <c r="Z53" s="33" t="n">
        <f aca="false">'Control Panel'!$B$89</f>
        <v>0</v>
      </c>
    </row>
    <row r="54" customFormat="false" ht="18" hidden="false" customHeight="true" outlineLevel="0" collapsed="false">
      <c r="A54" s="28" t="s">
        <v>50</v>
      </c>
      <c r="B54" s="33" t="n">
        <f aca="false">'Control Panel'!$B$90</f>
        <v>0</v>
      </c>
      <c r="J54" s="33" t="n">
        <f aca="false">'Control Panel'!$B$90</f>
        <v>0</v>
      </c>
      <c r="R54" s="33" t="n">
        <f aca="false">'Control Panel'!$B$90</f>
        <v>0</v>
      </c>
      <c r="Z54" s="33" t="n">
        <f aca="false">'Control Panel'!$B$90</f>
        <v>0</v>
      </c>
    </row>
    <row r="55" customFormat="false" ht="18" hidden="false" customHeight="true" outlineLevel="0" collapsed="false">
      <c r="A55" s="28" t="s">
        <v>51</v>
      </c>
      <c r="B55" s="34" t="n">
        <f aca="false">B49-B50-B51-B52+B53+B54</f>
        <v>1769608.75265197</v>
      </c>
      <c r="J55" s="34" t="n">
        <f aca="false">J49-J50-J51-J52+J53+J54</f>
        <v>3605453.85896043</v>
      </c>
      <c r="R55" s="34" t="n">
        <f aca="false">R49-R50-R51-R52+R53+R54</f>
        <v>6111049.02513055</v>
      </c>
      <c r="Z55" s="34" t="n">
        <f aca="false">Z49-Z50-Z51-Z52+Z53+Z54</f>
        <v>5169428.54</v>
      </c>
    </row>
    <row r="56" customFormat="false" ht="18" hidden="false" customHeight="true" outlineLevel="0" collapsed="false">
      <c r="A56" s="28" t="s">
        <v>52</v>
      </c>
      <c r="B56" s="35" t="n">
        <f aca="false">'Control Panel'!$B$86</f>
        <v>24391</v>
      </c>
      <c r="J56" s="35" t="n">
        <f aca="false">'Control Panel'!$B$86</f>
        <v>24391</v>
      </c>
      <c r="R56" s="35" t="n">
        <f aca="false">'Control Panel'!$B$86</f>
        <v>24391</v>
      </c>
      <c r="Z56" s="35" t="n">
        <f aca="false">'Control Panel'!$B$86</f>
        <v>24391</v>
      </c>
    </row>
    <row r="57" customFormat="false" ht="18" hidden="false" customHeight="true" outlineLevel="0" collapsed="false">
      <c r="A57" s="28" t="s">
        <v>19</v>
      </c>
      <c r="B57" s="25" t="n">
        <f aca="false">B55/B56</f>
        <v>72.5517097557284</v>
      </c>
      <c r="J57" s="25" t="n">
        <f aca="false">J55/J56</f>
        <v>147.819025827577</v>
      </c>
      <c r="R57" s="25" t="n">
        <f aca="false">R55/R56</f>
        <v>250.545243127816</v>
      </c>
      <c r="Z57" s="25" t="n">
        <f aca="false">Z55/Z56</f>
        <v>211.94</v>
      </c>
    </row>
    <row r="58" customFormat="false" ht="18" hidden="false" customHeight="true" outlineLevel="0" collapsed="false">
      <c r="A58" s="28" t="s">
        <v>53</v>
      </c>
      <c r="B58" s="36" t="n">
        <f aca="false">'Control Panel'!$B$12</f>
        <v>211.94</v>
      </c>
      <c r="J58" s="36" t="n">
        <f aca="false">'Control Panel'!$B$12</f>
        <v>211.94</v>
      </c>
      <c r="R58" s="36" t="n">
        <f aca="false">'Control Panel'!$B$12</f>
        <v>211.94</v>
      </c>
      <c r="Z58" s="36" t="n">
        <f aca="false">'Control Panel'!$B$12</f>
        <v>211.94</v>
      </c>
    </row>
    <row r="59" customFormat="false" ht="18" hidden="false" customHeight="true" outlineLevel="0" collapsed="false">
      <c r="A59" s="28" t="s">
        <v>20</v>
      </c>
      <c r="B59" s="37" t="n">
        <f aca="false">B57/B58-1</f>
        <v>-0.657678070417437</v>
      </c>
      <c r="J59" s="37" t="n">
        <f aca="false">J57/J58-1</f>
        <v>-0.302543050733336</v>
      </c>
      <c r="R59" s="37" t="n">
        <f aca="false">R57/R58-1</f>
        <v>0.182151755816814</v>
      </c>
      <c r="Z59" s="37" t="n">
        <f aca="false">Z57/Z58-1</f>
        <v>0</v>
      </c>
    </row>
    <row r="60" customFormat="false" ht="18" hidden="false" customHeight="true" outlineLevel="0" collapsed="false">
      <c r="A60" s="28" t="s">
        <v>21</v>
      </c>
      <c r="B60" s="32" t="n">
        <f aca="false">B47/B49</f>
        <v>0.595250051104164</v>
      </c>
      <c r="J60" s="32" t="n">
        <f aca="false">J47/J49</f>
        <v>0.684194267917582</v>
      </c>
      <c r="R60" s="32" t="n">
        <f aca="false">R47/R49</f>
        <v>0.747551194011727</v>
      </c>
      <c r="Z60" s="32" t="n">
        <f aca="false">Z47/Z49</f>
        <v>0.720175750866642</v>
      </c>
    </row>
  </sheetData>
  <autoFilter ref="A8:D15"/>
  <mergeCells count="5">
    <mergeCell ref="A1:J1"/>
    <mergeCell ref="B24:G24"/>
    <mergeCell ref="J24:O24"/>
    <mergeCell ref="R24:W24"/>
    <mergeCell ref="Z24:AE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H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8" width="24"/>
    <col collapsed="false" customWidth="true" hidden="false" outlineLevel="0" max="2" min="2" style="38" width="44"/>
    <col collapsed="false" customWidth="true" hidden="false" outlineLevel="0" max="8" min="3" style="38" width="18"/>
  </cols>
  <sheetData>
    <row r="1" customFormat="false" ht="24" hidden="false" customHeight="true" outlineLevel="0" collapsed="false">
      <c r="A1" s="39" t="s">
        <v>54</v>
      </c>
      <c r="B1" s="39"/>
      <c r="C1" s="39"/>
      <c r="D1" s="39"/>
      <c r="E1" s="39"/>
      <c r="F1" s="39"/>
      <c r="G1" s="39"/>
      <c r="H1" s="39"/>
    </row>
    <row r="3" customFormat="false" ht="15" hidden="false" customHeight="true" outlineLevel="0" collapsed="false">
      <c r="A3" s="40" t="s">
        <v>55</v>
      </c>
      <c r="B3" s="40"/>
      <c r="C3" s="40"/>
      <c r="D3" s="40"/>
      <c r="E3" s="40"/>
      <c r="F3" s="40"/>
      <c r="G3" s="40"/>
      <c r="H3" s="40"/>
    </row>
    <row r="4" customFormat="false" ht="15" hidden="false" customHeight="true" outlineLevel="0" collapsed="false">
      <c r="A4" s="41" t="s">
        <v>56</v>
      </c>
      <c r="B4" s="42" t="s">
        <v>57</v>
      </c>
    </row>
    <row r="5" customFormat="false" ht="15" hidden="false" customHeight="true" outlineLevel="0" collapsed="false">
      <c r="A5" s="41" t="s">
        <v>58</v>
      </c>
      <c r="B5" s="43" t="s">
        <v>59</v>
      </c>
    </row>
    <row r="6" customFormat="false" ht="23.25" hidden="false" customHeight="true" outlineLevel="0" collapsed="false">
      <c r="A6" s="41" t="s">
        <v>60</v>
      </c>
      <c r="B6" s="42" t="s">
        <v>61</v>
      </c>
    </row>
    <row r="7" customFormat="false" ht="23.25" hidden="false" customHeight="true" outlineLevel="0" collapsed="false">
      <c r="A7" s="41" t="s">
        <v>62</v>
      </c>
      <c r="B7" s="42" t="s">
        <v>63</v>
      </c>
    </row>
    <row r="8" customFormat="false" ht="15" hidden="false" customHeight="true" outlineLevel="0" collapsed="false">
      <c r="A8" s="41" t="s">
        <v>64</v>
      </c>
      <c r="B8" s="43" t="s">
        <v>65</v>
      </c>
    </row>
    <row r="9" customFormat="false" ht="15" hidden="false" customHeight="true" outlineLevel="0" collapsed="false">
      <c r="A9" s="41" t="s">
        <v>66</v>
      </c>
      <c r="B9" s="43" t="s">
        <v>67</v>
      </c>
    </row>
    <row r="12" customFormat="false" ht="15" hidden="false" customHeight="true" outlineLevel="0" collapsed="false">
      <c r="A12" s="40" t="s">
        <v>68</v>
      </c>
      <c r="B12" s="40"/>
      <c r="C12" s="40"/>
      <c r="D12" s="40"/>
      <c r="E12" s="40"/>
      <c r="F12" s="40"/>
      <c r="G12" s="40"/>
      <c r="H12" s="40"/>
    </row>
    <row r="13" customFormat="false" ht="15" hidden="false" customHeight="true" outlineLevel="0" collapsed="false">
      <c r="A13" s="44" t="s">
        <v>69</v>
      </c>
      <c r="B13" s="45" t="str">
        <f aca="false">HYPERLINK("#'Executive Summary'!A1","Open Executive Summary")</f>
        <v>Open Executive Summary</v>
      </c>
    </row>
    <row r="14" customFormat="false" ht="15" hidden="false" customHeight="true" outlineLevel="0" collapsed="false">
      <c r="A14" s="44" t="s">
        <v>70</v>
      </c>
      <c r="B14" s="45" t="str">
        <f aca="false">HYPERLINK("#'Control Panel'!A1","Open Control Panel")</f>
        <v>Open Control Panel</v>
      </c>
    </row>
    <row r="15" customFormat="false" ht="15" hidden="false" customHeight="true" outlineLevel="0" collapsed="false">
      <c r="A15" s="46" t="s">
        <v>71</v>
      </c>
      <c r="B15" s="45" t="str">
        <f aca="false">HYPERLINK("#'Historical Financials'!A1","Open Historical Financials")</f>
        <v>Open Historical Financials</v>
      </c>
    </row>
    <row r="16" customFormat="false" ht="15" hidden="false" customHeight="true" outlineLevel="0" collapsed="false">
      <c r="A16" s="46" t="s">
        <v>72</v>
      </c>
      <c r="B16" s="45" t="str">
        <f aca="false">HYPERLINK("#'Revenue Build'!A1","Open Revenue Build")</f>
        <v>Open Revenue Build</v>
      </c>
    </row>
    <row r="17" customFormat="false" ht="15" hidden="false" customHeight="true" outlineLevel="0" collapsed="false">
      <c r="A17" s="46" t="s">
        <v>73</v>
      </c>
      <c r="B17" s="45" t="str">
        <f aca="false">HYPERLINK("#'Margin Cost Build'!A1","Open Margin Cost Build")</f>
        <v>Open Margin Cost Build</v>
      </c>
    </row>
    <row r="18" customFormat="false" ht="15" hidden="false" customHeight="true" outlineLevel="0" collapsed="false">
      <c r="A18" s="46" t="s">
        <v>74</v>
      </c>
      <c r="B18" s="45" t="str">
        <f aca="false">HYPERLINK("#'Working Capital'!A1","Open Working Capital")</f>
        <v>Open Working Capital</v>
      </c>
    </row>
    <row r="19" customFormat="false" ht="15" hidden="false" customHeight="true" outlineLevel="0" collapsed="false">
      <c r="A19" s="46" t="s">
        <v>75</v>
      </c>
      <c r="B19" s="45" t="str">
        <f aca="false">HYPERLINK("#'Capex D&amp;A'!A1","Open Capex D&amp;A")</f>
        <v>Open Capex D&amp;A</v>
      </c>
    </row>
    <row r="20" customFormat="false" ht="15" hidden="false" customHeight="true" outlineLevel="0" collapsed="false">
      <c r="A20" s="46" t="s">
        <v>76</v>
      </c>
      <c r="B20" s="45" t="str">
        <f aca="false">HYPERLINK("#'Tax Schedule'!A1","Open Tax Schedule")</f>
        <v>Open Tax Schedule</v>
      </c>
    </row>
    <row r="21" customFormat="false" ht="15" hidden="false" customHeight="true" outlineLevel="0" collapsed="false">
      <c r="A21" s="46" t="s">
        <v>77</v>
      </c>
      <c r="B21" s="45" t="str">
        <f aca="false">HYPERLINK("#'Unlevered FCF'!A1","Open Unlevered FCF")</f>
        <v>Open Unlevered FCF</v>
      </c>
    </row>
    <row r="22" customFormat="false" ht="15" hidden="false" customHeight="true" outlineLevel="0" collapsed="false">
      <c r="A22" s="46" t="s">
        <v>15</v>
      </c>
      <c r="B22" s="45" t="str">
        <f aca="false">HYPERLINK("#'WACC'!A1","Open WACC")</f>
        <v>Open WACC</v>
      </c>
    </row>
    <row r="23" customFormat="false" ht="15" hidden="false" customHeight="true" outlineLevel="0" collapsed="false">
      <c r="A23" s="46" t="s">
        <v>78</v>
      </c>
      <c r="B23" s="45" t="str">
        <f aca="false">HYPERLINK("#'Terminal Value'!A1","Open Terminal Value")</f>
        <v>Open Terminal Value</v>
      </c>
    </row>
    <row r="24" customFormat="false" ht="15" hidden="false" customHeight="true" outlineLevel="0" collapsed="false">
      <c r="A24" s="44" t="s">
        <v>79</v>
      </c>
      <c r="B24" s="45" t="str">
        <f aca="false">HYPERLINK("#'DCF Valuation'!A1","Open DCF Valuation")</f>
        <v>Open DCF Valuation</v>
      </c>
    </row>
    <row r="25" customFormat="false" ht="15" hidden="false" customHeight="true" outlineLevel="0" collapsed="false">
      <c r="A25" s="46" t="s">
        <v>80</v>
      </c>
      <c r="B25" s="45" t="str">
        <f aca="false">HYPERLINK("#'Sensitivities'!A1","Open Sensitivities")</f>
        <v>Open Sensitivities</v>
      </c>
    </row>
    <row r="26" customFormat="false" ht="15" hidden="false" customHeight="true" outlineLevel="0" collapsed="false">
      <c r="A26" s="44" t="s">
        <v>81</v>
      </c>
      <c r="B26" s="45" t="str">
        <f aca="false">HYPERLINK("#'Checks'!A1","Open Checks")</f>
        <v>Open Checks</v>
      </c>
    </row>
    <row r="27" customFormat="false" ht="15" hidden="false" customHeight="true" outlineLevel="0" collapsed="false">
      <c r="A27" s="46" t="s">
        <v>82</v>
      </c>
      <c r="B27" s="45" t="str">
        <f aca="false">HYPERLINK("#'Source Notes'!A1","Open Source Notes")</f>
        <v>Open Source Notes</v>
      </c>
    </row>
    <row r="31" customFormat="false" ht="15" hidden="false" customHeight="true" outlineLevel="0" collapsed="false">
      <c r="A31" s="40" t="s">
        <v>83</v>
      </c>
      <c r="B31" s="40"/>
      <c r="C31" s="40"/>
      <c r="D31" s="40"/>
      <c r="E31" s="40"/>
      <c r="F31" s="40"/>
      <c r="G31" s="40"/>
      <c r="H31" s="40"/>
    </row>
    <row r="32" customFormat="false" ht="15" hidden="false" customHeight="true" outlineLevel="0" collapsed="false">
      <c r="A32" s="41" t="s">
        <v>84</v>
      </c>
      <c r="B32" s="43" t="s">
        <v>85</v>
      </c>
    </row>
    <row r="33" customFormat="false" ht="23.25" hidden="false" customHeight="true" outlineLevel="0" collapsed="false">
      <c r="A33" s="41" t="s">
        <v>86</v>
      </c>
      <c r="B33" s="43" t="s">
        <v>87</v>
      </c>
    </row>
    <row r="34" customFormat="false" ht="23.25" hidden="false" customHeight="true" outlineLevel="0" collapsed="false">
      <c r="A34" s="41" t="s">
        <v>88</v>
      </c>
      <c r="B34" s="43" t="s">
        <v>89</v>
      </c>
    </row>
    <row r="35" customFormat="false" ht="23.25" hidden="false" customHeight="true" outlineLevel="0" collapsed="false">
      <c r="A35" s="41" t="s">
        <v>90</v>
      </c>
      <c r="B35" s="43" t="s">
        <v>91</v>
      </c>
    </row>
  </sheetData>
  <mergeCells count="4">
    <mergeCell ref="A1:H1"/>
    <mergeCell ref="A3:H3"/>
    <mergeCell ref="A12:H12"/>
    <mergeCell ref="A31:H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H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8" width="34"/>
    <col collapsed="false" customWidth="true" hidden="false" outlineLevel="0" max="2" min="2" style="38" width="20"/>
    <col collapsed="false" customWidth="true" hidden="false" outlineLevel="0" max="3" min="3" style="38" width="18"/>
    <col collapsed="false" customWidth="true" hidden="false" outlineLevel="0" max="4" min="4" style="38" width="26"/>
    <col collapsed="false" customWidth="true" hidden="false" outlineLevel="0" max="8" min="5" style="38" width="18"/>
  </cols>
  <sheetData>
    <row r="1" customFormat="false" ht="24" hidden="false" customHeight="true" outlineLevel="0" collapsed="false">
      <c r="A1" s="39" t="s">
        <v>69</v>
      </c>
      <c r="B1" s="39"/>
      <c r="C1" s="39"/>
      <c r="D1" s="39"/>
      <c r="E1" s="39"/>
      <c r="F1" s="39"/>
      <c r="G1" s="39"/>
      <c r="H1" s="39"/>
    </row>
    <row r="3" customFormat="false" ht="15" hidden="false" customHeight="true" outlineLevel="0" collapsed="false">
      <c r="A3" s="40" t="s">
        <v>92</v>
      </c>
      <c r="B3" s="40"/>
      <c r="C3" s="40"/>
      <c r="D3" s="40"/>
      <c r="E3" s="40"/>
      <c r="F3" s="40"/>
      <c r="G3" s="40"/>
      <c r="H3" s="40"/>
    </row>
    <row r="4" customFormat="false" ht="23.25" hidden="false" customHeight="true" outlineLevel="0" collapsed="false">
      <c r="A4" s="46" t="s">
        <v>93</v>
      </c>
      <c r="B4" s="45" t="str">
        <f aca="false">'Control Panel'!$B$4</f>
        <v>NVIDIA Corporation (NVDA)</v>
      </c>
    </row>
    <row r="5" customFormat="false" ht="15" hidden="false" customHeight="true" outlineLevel="0" collapsed="false">
      <c r="A5" s="46" t="s">
        <v>5</v>
      </c>
      <c r="B5" s="45" t="str">
        <f aca="false">'Control Panel'!$B$7</f>
        <v>2026-08-04</v>
      </c>
    </row>
    <row r="6" customFormat="false" ht="23.25" hidden="false" customHeight="true" outlineLevel="0" collapsed="false">
      <c r="A6" s="46" t="s">
        <v>94</v>
      </c>
      <c r="B6" s="45" t="str">
        <f aca="false">'Control Panel'!$B$5&amp;" / "&amp;'Control Panel'!$B$6</f>
        <v>USD / $mm except per-share data</v>
      </c>
    </row>
    <row r="7" customFormat="false" ht="15" hidden="false" customHeight="true" outlineLevel="0" collapsed="false">
      <c r="A7" s="41" t="s">
        <v>18</v>
      </c>
      <c r="B7" s="47" t="n">
        <f aca="false">'DCF Valuation'!$B$6</f>
        <v>3537229.85896043</v>
      </c>
    </row>
    <row r="8" customFormat="false" ht="15" hidden="false" customHeight="true" outlineLevel="0" collapsed="false">
      <c r="A8" s="41" t="s">
        <v>51</v>
      </c>
      <c r="B8" s="47" t="n">
        <f aca="false">'DCF Valuation'!$B$16</f>
        <v>3605453.85896043</v>
      </c>
    </row>
    <row r="9" customFormat="false" ht="15" hidden="false" customHeight="true" outlineLevel="0" collapsed="false">
      <c r="A9" s="41" t="s">
        <v>95</v>
      </c>
      <c r="B9" s="48" t="n">
        <f aca="false">'DCF Valuation'!$B$18</f>
        <v>147.819025827577</v>
      </c>
    </row>
    <row r="10" customFormat="false" ht="15" hidden="false" customHeight="true" outlineLevel="0" collapsed="false">
      <c r="A10" s="46" t="s">
        <v>53</v>
      </c>
      <c r="B10" s="49" t="n">
        <f aca="false">'DCF Valuation'!$B$19</f>
        <v>211.94</v>
      </c>
    </row>
    <row r="11" customFormat="false" ht="15" hidden="false" customHeight="true" outlineLevel="0" collapsed="false">
      <c r="A11" s="41" t="s">
        <v>96</v>
      </c>
      <c r="B11" s="50" t="n">
        <f aca="false">'DCF Valuation'!$B$20</f>
        <v>-0.302543050733335</v>
      </c>
    </row>
    <row r="12" customFormat="false" ht="15" hidden="false" customHeight="true" outlineLevel="0" collapsed="false">
      <c r="A12" s="46" t="s">
        <v>97</v>
      </c>
      <c r="B12" s="49" t="n">
        <f aca="false">Sensitivities!G$51</f>
        <v>147.819025827577</v>
      </c>
    </row>
    <row r="13" customFormat="false" ht="15" hidden="false" customHeight="true" outlineLevel="0" collapsed="false">
      <c r="A13" s="46" t="s">
        <v>98</v>
      </c>
      <c r="B13" s="49" t="n">
        <f aca="false">Sensitivities!G$50</f>
        <v>109.386079112407</v>
      </c>
    </row>
    <row r="14" customFormat="false" ht="15" hidden="false" customHeight="true" outlineLevel="0" collapsed="false">
      <c r="A14" s="46" t="s">
        <v>99</v>
      </c>
      <c r="B14" s="49" t="n">
        <f aca="false">Sensitivities!G$52</f>
        <v>178.861021251368</v>
      </c>
    </row>
    <row r="15" customFormat="false" ht="34.5" hidden="false" customHeight="true" outlineLevel="0" collapsed="false">
      <c r="A15" s="46" t="s">
        <v>100</v>
      </c>
      <c r="B15" s="45" t="str">
        <f aca="false">'Control Panel'!$B$13</f>
        <v>Screen-grade only; placeholder assumptions used.</v>
      </c>
    </row>
    <row r="18" customFormat="false" ht="15" hidden="false" customHeight="true" outlineLevel="0" collapsed="false">
      <c r="A18" s="40" t="s">
        <v>101</v>
      </c>
      <c r="B18" s="40"/>
      <c r="C18" s="40"/>
      <c r="D18" s="40"/>
      <c r="E18" s="40"/>
      <c r="F18" s="40"/>
      <c r="G18" s="40"/>
      <c r="H18" s="40"/>
    </row>
    <row r="19" customFormat="false" ht="15" hidden="false" customHeight="true" outlineLevel="0" collapsed="false">
      <c r="A19" s="51" t="s">
        <v>102</v>
      </c>
      <c r="B19" s="50" t="n">
        <f aca="false">(('Revenue Build'!J$14/'Revenue Build'!D$14)^(1/6))-1</f>
        <v>0.203550077015862</v>
      </c>
    </row>
    <row r="20" customFormat="false" ht="15" hidden="false" customHeight="true" outlineLevel="0" collapsed="false">
      <c r="A20" s="51" t="s">
        <v>103</v>
      </c>
      <c r="B20" s="50" t="n">
        <f aca="false">'Margin Cost Build'!J$11</f>
        <v>0.562</v>
      </c>
    </row>
    <row r="21" customFormat="false" ht="15" hidden="false" customHeight="true" outlineLevel="0" collapsed="false">
      <c r="A21" s="51" t="s">
        <v>104</v>
      </c>
      <c r="B21" s="50" t="n">
        <f aca="false">'Control Panel'!$B$78</f>
        <v>0.106353</v>
      </c>
    </row>
    <row r="22" customFormat="false" ht="15" hidden="false" customHeight="true" outlineLevel="0" collapsed="false">
      <c r="A22" s="51" t="s">
        <v>105</v>
      </c>
      <c r="B22" s="50" t="n">
        <f aca="false">'Control Panel'!$B$83</f>
        <v>0.03</v>
      </c>
    </row>
    <row r="23" customFormat="false" ht="15" hidden="false" customHeight="true" outlineLevel="0" collapsed="false">
      <c r="A23" s="51" t="s">
        <v>106</v>
      </c>
      <c r="B23" s="50" t="n">
        <f aca="false">'DCF Valuation'!$B$7</f>
        <v>0.684194267917582</v>
      </c>
    </row>
    <row r="26" customFormat="false" ht="15" hidden="false" customHeight="true" outlineLevel="0" collapsed="false">
      <c r="A26" s="40" t="s">
        <v>107</v>
      </c>
      <c r="B26" s="40"/>
      <c r="C26" s="40"/>
      <c r="D26" s="40"/>
      <c r="E26" s="40"/>
      <c r="F26" s="40"/>
      <c r="G26" s="40"/>
      <c r="H26" s="40"/>
    </row>
    <row r="27" customFormat="false" ht="34.5" hidden="false" customHeight="true" outlineLevel="0" collapsed="false">
      <c r="A27" s="52" t="s">
        <v>108</v>
      </c>
      <c r="B27" s="43" t="s">
        <v>109</v>
      </c>
    </row>
    <row r="28" customFormat="false" ht="34.5" hidden="false" customHeight="true" outlineLevel="0" collapsed="false">
      <c r="A28" s="52" t="s">
        <v>110</v>
      </c>
      <c r="B28" s="43" t="s">
        <v>111</v>
      </c>
    </row>
    <row r="29" customFormat="false" ht="45.75" hidden="false" customHeight="true" outlineLevel="0" collapsed="false">
      <c r="A29" s="52" t="s">
        <v>112</v>
      </c>
      <c r="B29" s="43" t="s">
        <v>113</v>
      </c>
    </row>
    <row r="30" customFormat="false" ht="45.75" hidden="false" customHeight="true" outlineLevel="0" collapsed="false">
      <c r="A30" s="52" t="s">
        <v>114</v>
      </c>
      <c r="B30" s="43" t="s">
        <v>115</v>
      </c>
    </row>
  </sheetData>
  <mergeCells count="4">
    <mergeCell ref="A1:H1"/>
    <mergeCell ref="A3:H3"/>
    <mergeCell ref="A18:H18"/>
    <mergeCell ref="A26:H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J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8" width="30"/>
    <col collapsed="false" customWidth="true" hidden="false" outlineLevel="0" max="9" min="2" style="38" width="14"/>
    <col collapsed="false" customWidth="true" hidden="false" outlineLevel="0" max="10" min="10" style="38" width="18"/>
  </cols>
  <sheetData>
    <row r="1" customFormat="false" ht="24" hidden="false" customHeight="true" outlineLevel="0" collapsed="false">
      <c r="A1" s="39" t="s">
        <v>70</v>
      </c>
      <c r="B1" s="39"/>
      <c r="C1" s="39"/>
      <c r="D1" s="39"/>
      <c r="E1" s="39"/>
      <c r="F1" s="39"/>
      <c r="G1" s="39"/>
      <c r="H1" s="39"/>
      <c r="I1" s="39"/>
      <c r="J1" s="39"/>
    </row>
    <row r="3" customFormat="false" ht="15" hidden="false" customHeight="true" outlineLevel="0" collapsed="false">
      <c r="A3" s="40" t="s">
        <v>116</v>
      </c>
      <c r="B3" s="40"/>
      <c r="C3" s="40"/>
      <c r="D3" s="40"/>
      <c r="E3" s="40"/>
      <c r="F3" s="40"/>
      <c r="G3" s="40"/>
      <c r="H3" s="40"/>
      <c r="I3" s="40"/>
      <c r="J3" s="40"/>
    </row>
    <row r="4" customFormat="false" ht="34.5" hidden="false" customHeight="true" outlineLevel="0" collapsed="false">
      <c r="A4" s="41" t="s">
        <v>93</v>
      </c>
      <c r="B4" s="53" t="s">
        <v>117</v>
      </c>
    </row>
    <row r="5" customFormat="false" ht="15" hidden="false" customHeight="true" outlineLevel="0" collapsed="false">
      <c r="A5" s="51" t="s">
        <v>118</v>
      </c>
      <c r="B5" s="53" t="s">
        <v>119</v>
      </c>
    </row>
    <row r="6" customFormat="false" ht="23.25" hidden="false" customHeight="true" outlineLevel="0" collapsed="false">
      <c r="A6" s="51" t="s">
        <v>120</v>
      </c>
      <c r="B6" s="53" t="s">
        <v>121</v>
      </c>
    </row>
    <row r="7" customFormat="false" ht="15" hidden="false" customHeight="true" outlineLevel="0" collapsed="false">
      <c r="A7" s="51" t="s">
        <v>5</v>
      </c>
      <c r="B7" s="53" t="s">
        <v>6</v>
      </c>
    </row>
    <row r="8" customFormat="false" ht="15" hidden="false" customHeight="true" outlineLevel="0" collapsed="false">
      <c r="A8" s="51" t="s">
        <v>60</v>
      </c>
      <c r="B8" s="53" t="s">
        <v>122</v>
      </c>
    </row>
    <row r="9" customFormat="false" ht="23.25" hidden="false" customHeight="true" outlineLevel="0" collapsed="false">
      <c r="A9" s="51" t="s">
        <v>123</v>
      </c>
      <c r="B9" s="53" t="s">
        <v>57</v>
      </c>
    </row>
    <row r="10" customFormat="false" ht="15" hidden="false" customHeight="true" outlineLevel="0" collapsed="false">
      <c r="A10" s="41" t="s">
        <v>124</v>
      </c>
      <c r="B10" s="53" t="s">
        <v>13</v>
      </c>
    </row>
    <row r="11" customFormat="false" ht="15" hidden="false" customHeight="true" outlineLevel="0" collapsed="false">
      <c r="A11" s="51" t="s">
        <v>125</v>
      </c>
      <c r="B11" s="53" t="s">
        <v>65</v>
      </c>
    </row>
    <row r="12" customFormat="false" ht="15" hidden="false" customHeight="true" outlineLevel="0" collapsed="false">
      <c r="A12" s="51" t="s">
        <v>53</v>
      </c>
      <c r="B12" s="54" t="n">
        <v>211.94</v>
      </c>
    </row>
    <row r="13" customFormat="false" ht="57" hidden="false" customHeight="true" outlineLevel="0" collapsed="false">
      <c r="A13" s="51" t="s">
        <v>100</v>
      </c>
      <c r="B13" s="53" t="s">
        <v>126</v>
      </c>
    </row>
    <row r="14" customFormat="false" ht="15" hidden="false" customHeight="true" outlineLevel="0" collapsed="false">
      <c r="A14" s="41" t="s">
        <v>127</v>
      </c>
      <c r="B14" s="53" t="s">
        <v>128</v>
      </c>
    </row>
    <row r="15" customFormat="false" ht="15" hidden="false" customHeight="true" outlineLevel="0" collapsed="false">
      <c r="A15" s="51" t="s">
        <v>129</v>
      </c>
      <c r="B15" s="55" t="n">
        <v>0</v>
      </c>
    </row>
    <row r="16" customFormat="false" ht="15" hidden="false" customHeight="true" outlineLevel="0" collapsed="false">
      <c r="A16" s="51" t="s">
        <v>130</v>
      </c>
      <c r="B16" s="55" t="n">
        <v>0.345</v>
      </c>
    </row>
    <row r="17" customFormat="false" ht="15" hidden="false" customHeight="true" outlineLevel="0" collapsed="false">
      <c r="A17" s="40" t="s">
        <v>131</v>
      </c>
      <c r="B17" s="40"/>
      <c r="C17" s="40"/>
      <c r="D17" s="40"/>
      <c r="E17" s="40"/>
      <c r="F17" s="40"/>
      <c r="G17" s="40"/>
      <c r="H17" s="40"/>
      <c r="I17" s="40"/>
      <c r="J17" s="40"/>
    </row>
    <row r="18" customFormat="false" ht="15" hidden="false" customHeight="true" outlineLevel="0" collapsed="false">
      <c r="A18" s="56" t="s">
        <v>132</v>
      </c>
      <c r="B18" s="56" t="s">
        <v>133</v>
      </c>
      <c r="C18" s="56" t="s">
        <v>134</v>
      </c>
      <c r="D18" s="56" t="s">
        <v>135</v>
      </c>
      <c r="E18" s="56" t="s">
        <v>136</v>
      </c>
      <c r="F18" s="56" t="s">
        <v>137</v>
      </c>
      <c r="G18" s="56" t="s">
        <v>138</v>
      </c>
      <c r="H18" s="57"/>
      <c r="I18" s="57"/>
      <c r="J18" s="57"/>
    </row>
    <row r="20" customFormat="false" ht="15" hidden="false" customHeight="true" outlineLevel="0" collapsed="false">
      <c r="A20" s="40" t="s">
        <v>139</v>
      </c>
      <c r="B20" s="40"/>
      <c r="C20" s="40"/>
      <c r="D20" s="40"/>
      <c r="E20" s="40"/>
      <c r="F20" s="40"/>
      <c r="G20" s="40"/>
      <c r="H20" s="40"/>
      <c r="I20" s="40"/>
      <c r="J20" s="40"/>
    </row>
    <row r="21" customFormat="false" ht="15" hidden="false" customHeight="true" outlineLevel="0" collapsed="false">
      <c r="A21" s="41" t="s">
        <v>13</v>
      </c>
      <c r="B21" s="55" t="n">
        <v>0.36</v>
      </c>
      <c r="C21" s="55" t="n">
        <v>0.27</v>
      </c>
      <c r="D21" s="55" t="n">
        <v>0.21</v>
      </c>
      <c r="E21" s="55" t="n">
        <v>0.17</v>
      </c>
      <c r="F21" s="55" t="n">
        <v>0.13</v>
      </c>
      <c r="G21" s="55" t="n">
        <v>0.1</v>
      </c>
    </row>
    <row r="22" customFormat="false" ht="15" hidden="false" customHeight="true" outlineLevel="0" collapsed="false">
      <c r="A22" s="51" t="s">
        <v>12</v>
      </c>
      <c r="B22" s="55" t="n">
        <v>0.22</v>
      </c>
      <c r="C22" s="55" t="n">
        <v>0.16</v>
      </c>
      <c r="D22" s="55" t="n">
        <v>0.12</v>
      </c>
      <c r="E22" s="55" t="n">
        <v>0.1</v>
      </c>
      <c r="F22" s="55" t="n">
        <v>0.08</v>
      </c>
      <c r="G22" s="55" t="n">
        <v>0.06</v>
      </c>
    </row>
    <row r="23" customFormat="false" ht="15" hidden="false" customHeight="true" outlineLevel="0" collapsed="false">
      <c r="A23" s="51" t="s">
        <v>14</v>
      </c>
      <c r="B23" s="55" t="n">
        <v>0.45</v>
      </c>
      <c r="C23" s="55" t="n">
        <v>0.36</v>
      </c>
      <c r="D23" s="55" t="n">
        <v>0.28</v>
      </c>
      <c r="E23" s="55" t="n">
        <v>0.22</v>
      </c>
      <c r="F23" s="55" t="n">
        <v>0.17</v>
      </c>
      <c r="G23" s="55" t="n">
        <v>0.13</v>
      </c>
    </row>
    <row r="25" customFormat="false" ht="15" hidden="false" customHeight="true" outlineLevel="0" collapsed="false">
      <c r="A25" s="40" t="s">
        <v>140</v>
      </c>
      <c r="B25" s="40"/>
      <c r="C25" s="40"/>
      <c r="D25" s="40"/>
      <c r="E25" s="40"/>
      <c r="F25" s="40"/>
      <c r="G25" s="40"/>
      <c r="H25" s="40"/>
      <c r="I25" s="40"/>
      <c r="J25" s="40"/>
    </row>
    <row r="26" customFormat="false" ht="15" hidden="false" customHeight="true" outlineLevel="0" collapsed="false">
      <c r="A26" s="41" t="s">
        <v>13</v>
      </c>
      <c r="B26" s="55" t="n">
        <v>0.645</v>
      </c>
      <c r="C26" s="55" t="n">
        <v>0.637</v>
      </c>
      <c r="D26" s="55" t="n">
        <v>0.619</v>
      </c>
      <c r="E26" s="55" t="n">
        <v>0.601</v>
      </c>
      <c r="F26" s="55" t="n">
        <v>0.582</v>
      </c>
      <c r="G26" s="55" t="n">
        <v>0.562</v>
      </c>
    </row>
    <row r="27" customFormat="false" ht="15" hidden="false" customHeight="true" outlineLevel="0" collapsed="false">
      <c r="A27" s="51" t="s">
        <v>12</v>
      </c>
      <c r="B27" s="55" t="n">
        <v>0.585</v>
      </c>
      <c r="C27" s="55" t="n">
        <v>0.567</v>
      </c>
      <c r="D27" s="55" t="n">
        <v>0.549</v>
      </c>
      <c r="E27" s="55" t="n">
        <v>0.531</v>
      </c>
      <c r="F27" s="55" t="n">
        <v>0.512</v>
      </c>
      <c r="G27" s="55" t="n">
        <v>0.502</v>
      </c>
    </row>
    <row r="28" customFormat="false" ht="15" hidden="false" customHeight="true" outlineLevel="0" collapsed="false">
      <c r="A28" s="51" t="s">
        <v>14</v>
      </c>
      <c r="B28" s="55" t="n">
        <v>0.675</v>
      </c>
      <c r="C28" s="55" t="n">
        <v>0.677</v>
      </c>
      <c r="D28" s="55" t="n">
        <v>0.659</v>
      </c>
      <c r="E28" s="55" t="n">
        <v>0.641</v>
      </c>
      <c r="F28" s="55" t="n">
        <v>0.622</v>
      </c>
      <c r="G28" s="55" t="n">
        <v>0.612</v>
      </c>
    </row>
    <row r="30" customFormat="false" ht="15" hidden="false" customHeight="true" outlineLevel="0" collapsed="false">
      <c r="A30" s="40" t="s">
        <v>141</v>
      </c>
      <c r="B30" s="40"/>
      <c r="C30" s="40"/>
      <c r="D30" s="40"/>
      <c r="E30" s="40"/>
      <c r="F30" s="40"/>
      <c r="G30" s="40"/>
      <c r="H30" s="40"/>
      <c r="I30" s="40"/>
      <c r="J30" s="40"/>
    </row>
    <row r="31" customFormat="false" ht="15" hidden="false" customHeight="true" outlineLevel="0" collapsed="false">
      <c r="A31" s="41" t="s">
        <v>13</v>
      </c>
      <c r="B31" s="55" t="n">
        <v>0.63</v>
      </c>
      <c r="C31" s="55" t="n">
        <v>0.62</v>
      </c>
      <c r="D31" s="55" t="n">
        <v>0.6</v>
      </c>
      <c r="E31" s="55" t="n">
        <v>0.58</v>
      </c>
      <c r="F31" s="55" t="n">
        <v>0.56</v>
      </c>
      <c r="G31" s="55" t="n">
        <v>0.54</v>
      </c>
    </row>
    <row r="32" customFormat="false" ht="15" hidden="false" customHeight="true" outlineLevel="0" collapsed="false">
      <c r="A32" s="51" t="s">
        <v>12</v>
      </c>
      <c r="B32" s="55" t="n">
        <v>0.57</v>
      </c>
      <c r="C32" s="55" t="n">
        <v>0.55</v>
      </c>
      <c r="D32" s="55" t="n">
        <v>0.53</v>
      </c>
      <c r="E32" s="55" t="n">
        <v>0.51</v>
      </c>
      <c r="F32" s="55" t="n">
        <v>0.49</v>
      </c>
      <c r="G32" s="55" t="n">
        <v>0.48</v>
      </c>
    </row>
    <row r="33" customFormat="false" ht="15" hidden="false" customHeight="true" outlineLevel="0" collapsed="false">
      <c r="A33" s="51" t="s">
        <v>14</v>
      </c>
      <c r="B33" s="55" t="n">
        <v>0.66</v>
      </c>
      <c r="C33" s="55" t="n">
        <v>0.66</v>
      </c>
      <c r="D33" s="55" t="n">
        <v>0.64</v>
      </c>
      <c r="E33" s="55" t="n">
        <v>0.62</v>
      </c>
      <c r="F33" s="55" t="n">
        <v>0.6</v>
      </c>
      <c r="G33" s="55" t="n">
        <v>0.59</v>
      </c>
    </row>
    <row r="35" customFormat="false" ht="15" hidden="false" customHeight="true" outlineLevel="0" collapsed="false">
      <c r="A35" s="40" t="s">
        <v>142</v>
      </c>
      <c r="B35" s="40"/>
      <c r="C35" s="40"/>
      <c r="D35" s="40"/>
      <c r="E35" s="40"/>
      <c r="F35" s="40"/>
      <c r="G35" s="40"/>
      <c r="H35" s="40"/>
      <c r="I35" s="40"/>
      <c r="J35" s="40"/>
    </row>
    <row r="36" customFormat="false" ht="15" hidden="false" customHeight="true" outlineLevel="0" collapsed="false">
      <c r="A36" s="41" t="s">
        <v>13</v>
      </c>
      <c r="B36" s="55" t="n">
        <v>0.015</v>
      </c>
      <c r="C36" s="55" t="n">
        <v>0.017</v>
      </c>
      <c r="D36" s="55" t="n">
        <v>0.019</v>
      </c>
      <c r="E36" s="55" t="n">
        <v>0.021</v>
      </c>
      <c r="F36" s="55" t="n">
        <v>0.022</v>
      </c>
      <c r="G36" s="55" t="n">
        <v>0.022</v>
      </c>
    </row>
    <row r="37" customFormat="false" ht="15" hidden="false" customHeight="true" outlineLevel="0" collapsed="false">
      <c r="A37" s="51" t="s">
        <v>12</v>
      </c>
      <c r="B37" s="55" t="n">
        <v>0.015</v>
      </c>
      <c r="C37" s="55" t="n">
        <v>0.017</v>
      </c>
      <c r="D37" s="55" t="n">
        <v>0.019</v>
      </c>
      <c r="E37" s="55" t="n">
        <v>0.021</v>
      </c>
      <c r="F37" s="55" t="n">
        <v>0.022</v>
      </c>
      <c r="G37" s="55" t="n">
        <v>0.022</v>
      </c>
    </row>
    <row r="38" customFormat="false" ht="15" hidden="false" customHeight="true" outlineLevel="0" collapsed="false">
      <c r="A38" s="51" t="s">
        <v>14</v>
      </c>
      <c r="B38" s="55" t="n">
        <v>0.015</v>
      </c>
      <c r="C38" s="55" t="n">
        <v>0.017</v>
      </c>
      <c r="D38" s="55" t="n">
        <v>0.019</v>
      </c>
      <c r="E38" s="55" t="n">
        <v>0.021</v>
      </c>
      <c r="F38" s="55" t="n">
        <v>0.022</v>
      </c>
      <c r="G38" s="55" t="n">
        <v>0.022</v>
      </c>
    </row>
    <row r="40" customFormat="false" ht="15" hidden="false" customHeight="true" outlineLevel="0" collapsed="false">
      <c r="A40" s="40" t="s">
        <v>143</v>
      </c>
      <c r="B40" s="40"/>
      <c r="C40" s="40"/>
      <c r="D40" s="40"/>
      <c r="E40" s="40"/>
      <c r="F40" s="40"/>
      <c r="G40" s="40"/>
      <c r="H40" s="40"/>
      <c r="I40" s="40"/>
      <c r="J40" s="40"/>
    </row>
    <row r="41" customFormat="false" ht="15" hidden="false" customHeight="true" outlineLevel="0" collapsed="false">
      <c r="A41" s="41" t="s">
        <v>13</v>
      </c>
      <c r="B41" s="55" t="n">
        <v>0.03</v>
      </c>
      <c r="C41" s="55" t="n">
        <v>0.032</v>
      </c>
      <c r="D41" s="55" t="n">
        <v>0.034</v>
      </c>
      <c r="E41" s="55" t="n">
        <v>0.035</v>
      </c>
      <c r="F41" s="55" t="n">
        <v>0.035</v>
      </c>
      <c r="G41" s="55" t="n">
        <v>0.035</v>
      </c>
    </row>
    <row r="42" customFormat="false" ht="15" hidden="false" customHeight="true" outlineLevel="0" collapsed="false">
      <c r="A42" s="51" t="s">
        <v>12</v>
      </c>
      <c r="B42" s="55" t="n">
        <v>0.04</v>
      </c>
      <c r="C42" s="55" t="n">
        <v>0.04</v>
      </c>
      <c r="D42" s="55" t="n">
        <v>0.04</v>
      </c>
      <c r="E42" s="55" t="n">
        <v>0.04</v>
      </c>
      <c r="F42" s="55" t="n">
        <v>0.04</v>
      </c>
      <c r="G42" s="55" t="n">
        <v>0.04</v>
      </c>
    </row>
    <row r="43" customFormat="false" ht="15" hidden="false" customHeight="true" outlineLevel="0" collapsed="false">
      <c r="A43" s="51" t="s">
        <v>14</v>
      </c>
      <c r="B43" s="55" t="n">
        <v>0.028</v>
      </c>
      <c r="C43" s="55" t="n">
        <v>0.03</v>
      </c>
      <c r="D43" s="55" t="n">
        <v>0.032</v>
      </c>
      <c r="E43" s="55" t="n">
        <v>0.033</v>
      </c>
      <c r="F43" s="55" t="n">
        <v>0.033</v>
      </c>
      <c r="G43" s="55" t="n">
        <v>0.033</v>
      </c>
    </row>
    <row r="45" customFormat="false" ht="15" hidden="false" customHeight="true" outlineLevel="0" collapsed="false">
      <c r="A45" s="40" t="s">
        <v>144</v>
      </c>
      <c r="B45" s="40"/>
      <c r="C45" s="40"/>
      <c r="D45" s="40"/>
      <c r="E45" s="40"/>
      <c r="F45" s="40"/>
      <c r="G45" s="40"/>
      <c r="H45" s="40"/>
      <c r="I45" s="40"/>
      <c r="J45" s="40"/>
    </row>
    <row r="46" customFormat="false" ht="15" hidden="false" customHeight="true" outlineLevel="0" collapsed="false">
      <c r="A46" s="41" t="s">
        <v>13</v>
      </c>
      <c r="B46" s="55" t="n">
        <v>0.11</v>
      </c>
      <c r="C46" s="55" t="n">
        <v>0.105</v>
      </c>
      <c r="D46" s="55" t="n">
        <v>0.1</v>
      </c>
      <c r="E46" s="55" t="n">
        <v>0.095</v>
      </c>
      <c r="F46" s="55" t="n">
        <v>0.09</v>
      </c>
      <c r="G46" s="55" t="n">
        <v>0.09</v>
      </c>
    </row>
    <row r="47" customFormat="false" ht="15" hidden="false" customHeight="true" outlineLevel="0" collapsed="false">
      <c r="A47" s="51" t="s">
        <v>12</v>
      </c>
      <c r="B47" s="55" t="n">
        <v>0.13</v>
      </c>
      <c r="C47" s="55" t="n">
        <v>0.13</v>
      </c>
      <c r="D47" s="55" t="n">
        <v>0.125</v>
      </c>
      <c r="E47" s="55" t="n">
        <v>0.12</v>
      </c>
      <c r="F47" s="55" t="n">
        <v>0.115</v>
      </c>
      <c r="G47" s="55" t="n">
        <v>0.11</v>
      </c>
    </row>
    <row r="48" customFormat="false" ht="15" hidden="false" customHeight="true" outlineLevel="0" collapsed="false">
      <c r="A48" s="51" t="s">
        <v>14</v>
      </c>
      <c r="B48" s="55" t="n">
        <v>0.1</v>
      </c>
      <c r="C48" s="55" t="n">
        <v>0.095</v>
      </c>
      <c r="D48" s="55" t="n">
        <v>0.09</v>
      </c>
      <c r="E48" s="55" t="n">
        <v>0.085</v>
      </c>
      <c r="F48" s="55" t="n">
        <v>0.08</v>
      </c>
      <c r="G48" s="55" t="n">
        <v>0.08</v>
      </c>
    </row>
    <row r="50" customFormat="false" ht="15" hidden="false" customHeight="true" outlineLevel="0" collapsed="false">
      <c r="A50" s="40" t="s">
        <v>145</v>
      </c>
      <c r="B50" s="40"/>
      <c r="C50" s="40"/>
      <c r="D50" s="40"/>
      <c r="E50" s="40"/>
      <c r="F50" s="40"/>
      <c r="G50" s="40"/>
      <c r="H50" s="40"/>
      <c r="I50" s="40"/>
      <c r="J50" s="40"/>
    </row>
    <row r="51" customFormat="false" ht="15" hidden="false" customHeight="true" outlineLevel="0" collapsed="false">
      <c r="A51" s="41" t="s">
        <v>13</v>
      </c>
      <c r="B51" s="55" t="n">
        <v>0.17</v>
      </c>
      <c r="C51" s="55" t="n">
        <v>0.17</v>
      </c>
      <c r="D51" s="55" t="n">
        <v>0.17</v>
      </c>
      <c r="E51" s="55" t="n">
        <v>0.17</v>
      </c>
      <c r="F51" s="55" t="n">
        <v>0.17</v>
      </c>
      <c r="G51" s="55" t="n">
        <v>0.17</v>
      </c>
    </row>
    <row r="52" customFormat="false" ht="15" hidden="false" customHeight="true" outlineLevel="0" collapsed="false">
      <c r="A52" s="51" t="s">
        <v>12</v>
      </c>
      <c r="B52" s="55" t="n">
        <v>0.18</v>
      </c>
      <c r="C52" s="55" t="n">
        <v>0.18</v>
      </c>
      <c r="D52" s="55" t="n">
        <v>0.18</v>
      </c>
      <c r="E52" s="55" t="n">
        <v>0.18</v>
      </c>
      <c r="F52" s="55" t="n">
        <v>0.18</v>
      </c>
      <c r="G52" s="55" t="n">
        <v>0.18</v>
      </c>
    </row>
    <row r="53" customFormat="false" ht="15" hidden="false" customHeight="true" outlineLevel="0" collapsed="false">
      <c r="A53" s="51" t="s">
        <v>14</v>
      </c>
      <c r="B53" s="55" t="n">
        <v>0.16</v>
      </c>
      <c r="C53" s="55" t="n">
        <v>0.16</v>
      </c>
      <c r="D53" s="55" t="n">
        <v>0.16</v>
      </c>
      <c r="E53" s="55" t="n">
        <v>0.16</v>
      </c>
      <c r="F53" s="55" t="n">
        <v>0.16</v>
      </c>
      <c r="G53" s="55" t="n">
        <v>0.16</v>
      </c>
    </row>
    <row r="55" customFormat="false" ht="15" hidden="false" customHeight="true" outlineLevel="0" collapsed="false">
      <c r="A55" s="40" t="s">
        <v>146</v>
      </c>
      <c r="B55" s="40"/>
      <c r="C55" s="40"/>
      <c r="D55" s="40"/>
      <c r="E55" s="40"/>
      <c r="F55" s="40"/>
      <c r="G55" s="40"/>
      <c r="H55" s="40"/>
      <c r="I55" s="40"/>
      <c r="J55" s="40"/>
    </row>
    <row r="56" customFormat="false" ht="15" hidden="false" customHeight="true" outlineLevel="0" collapsed="false">
      <c r="A56" s="41" t="s">
        <v>13</v>
      </c>
      <c r="B56" s="55" t="n">
        <v>0.17</v>
      </c>
      <c r="C56" s="55" t="n">
        <v>0.17</v>
      </c>
      <c r="D56" s="55" t="n">
        <v>0.17</v>
      </c>
      <c r="E56" s="55" t="n">
        <v>0.17</v>
      </c>
      <c r="F56" s="55" t="n">
        <v>0.17</v>
      </c>
      <c r="G56" s="55" t="n">
        <v>0.17</v>
      </c>
    </row>
    <row r="57" customFormat="false" ht="15" hidden="false" customHeight="true" outlineLevel="0" collapsed="false">
      <c r="A57" s="51" t="s">
        <v>12</v>
      </c>
      <c r="B57" s="55" t="n">
        <v>0.18</v>
      </c>
      <c r="C57" s="55" t="n">
        <v>0.18</v>
      </c>
      <c r="D57" s="55" t="n">
        <v>0.18</v>
      </c>
      <c r="E57" s="55" t="n">
        <v>0.18</v>
      </c>
      <c r="F57" s="55" t="n">
        <v>0.18</v>
      </c>
      <c r="G57" s="55" t="n">
        <v>0.18</v>
      </c>
    </row>
    <row r="58" customFormat="false" ht="15" hidden="false" customHeight="true" outlineLevel="0" collapsed="false">
      <c r="A58" s="51" t="s">
        <v>14</v>
      </c>
      <c r="B58" s="55" t="n">
        <v>0.16</v>
      </c>
      <c r="C58" s="55" t="n">
        <v>0.16</v>
      </c>
      <c r="D58" s="55" t="n">
        <v>0.16</v>
      </c>
      <c r="E58" s="55" t="n">
        <v>0.16</v>
      </c>
      <c r="F58" s="55" t="n">
        <v>0.16</v>
      </c>
      <c r="G58" s="55" t="n">
        <v>0.16</v>
      </c>
    </row>
    <row r="60" customFormat="false" ht="15" hidden="false" customHeight="true" outlineLevel="0" collapsed="false">
      <c r="A60" s="40" t="s">
        <v>147</v>
      </c>
      <c r="B60" s="40"/>
      <c r="C60" s="40"/>
      <c r="D60" s="40"/>
      <c r="E60" s="40"/>
      <c r="F60" s="40"/>
      <c r="G60" s="40"/>
      <c r="H60" s="40"/>
      <c r="I60" s="40"/>
      <c r="J60" s="40"/>
    </row>
    <row r="61" customFormat="false" ht="15" hidden="false" customHeight="true" outlineLevel="0" collapsed="false">
      <c r="A61" s="51" t="s">
        <v>148</v>
      </c>
      <c r="B61" s="55" t="n">
        <v>0.11</v>
      </c>
      <c r="C61" s="55" t="n">
        <v>0.105</v>
      </c>
      <c r="D61" s="55" t="n">
        <v>0.1</v>
      </c>
      <c r="E61" s="55" t="n">
        <v>0.095</v>
      </c>
      <c r="F61" s="55" t="n">
        <v>0.09</v>
      </c>
      <c r="G61" s="55" t="n">
        <v>0.09</v>
      </c>
    </row>
    <row r="62" customFormat="false" ht="15" hidden="false" customHeight="true" outlineLevel="0" collapsed="false">
      <c r="A62" s="51" t="s">
        <v>149</v>
      </c>
      <c r="B62" s="55" t="n">
        <v>0</v>
      </c>
      <c r="C62" s="55" t="n">
        <v>0</v>
      </c>
      <c r="D62" s="55" t="n">
        <v>0</v>
      </c>
      <c r="E62" s="55" t="n">
        <v>0</v>
      </c>
      <c r="F62" s="55" t="n">
        <v>0</v>
      </c>
      <c r="G62" s="55" t="n">
        <v>0</v>
      </c>
    </row>
    <row r="63" customFormat="false" ht="15" hidden="false" customHeight="true" outlineLevel="0" collapsed="false">
      <c r="A63" s="51" t="s">
        <v>150</v>
      </c>
      <c r="B63" s="55" t="n">
        <v>0</v>
      </c>
      <c r="C63" s="55" t="n">
        <v>0</v>
      </c>
      <c r="D63" s="55" t="n">
        <v>0</v>
      </c>
      <c r="E63" s="55" t="n">
        <v>0</v>
      </c>
      <c r="F63" s="55" t="n">
        <v>0</v>
      </c>
      <c r="G63" s="55" t="n">
        <v>0</v>
      </c>
    </row>
    <row r="64" customFormat="false" ht="15" hidden="false" customHeight="true" outlineLevel="0" collapsed="false">
      <c r="A64" s="51" t="s">
        <v>151</v>
      </c>
      <c r="B64" s="55" t="n">
        <v>0</v>
      </c>
      <c r="C64" s="55" t="n">
        <v>0</v>
      </c>
      <c r="D64" s="55" t="n">
        <v>0</v>
      </c>
      <c r="E64" s="55" t="n">
        <v>0</v>
      </c>
      <c r="F64" s="55" t="n">
        <v>0</v>
      </c>
      <c r="G64" s="55" t="n">
        <v>0</v>
      </c>
    </row>
    <row r="65" customFormat="false" ht="15" hidden="false" customHeight="true" outlineLevel="0" collapsed="false">
      <c r="A65" s="51" t="s">
        <v>152</v>
      </c>
      <c r="B65" s="55" t="n">
        <v>0</v>
      </c>
      <c r="C65" s="55" t="n">
        <v>0</v>
      </c>
      <c r="D65" s="55" t="n">
        <v>0</v>
      </c>
      <c r="E65" s="55" t="n">
        <v>0</v>
      </c>
      <c r="F65" s="55" t="n">
        <v>0</v>
      </c>
      <c r="G65" s="55" t="n">
        <v>0</v>
      </c>
    </row>
    <row r="68" customFormat="false" ht="15" hidden="false" customHeight="true" outlineLevel="0" collapsed="false">
      <c r="A68" s="40" t="s">
        <v>153</v>
      </c>
      <c r="B68" s="40"/>
      <c r="C68" s="40"/>
      <c r="D68" s="40"/>
      <c r="E68" s="40"/>
      <c r="F68" s="40"/>
      <c r="G68" s="40"/>
      <c r="H68" s="40"/>
      <c r="I68" s="40"/>
      <c r="J68" s="40"/>
    </row>
    <row r="69" customFormat="false" ht="15" hidden="false" customHeight="true" outlineLevel="0" collapsed="false">
      <c r="A69" s="51" t="s">
        <v>154</v>
      </c>
      <c r="B69" s="55" t="n">
        <v>0.0463</v>
      </c>
    </row>
    <row r="70" customFormat="false" ht="15" hidden="false" customHeight="true" outlineLevel="0" collapsed="false">
      <c r="A70" s="51" t="s">
        <v>155</v>
      </c>
      <c r="B70" s="58" t="n">
        <v>1.35</v>
      </c>
    </row>
    <row r="71" customFormat="false" ht="15" hidden="false" customHeight="true" outlineLevel="0" collapsed="false">
      <c r="A71" s="51" t="s">
        <v>156</v>
      </c>
      <c r="B71" s="55" t="n">
        <v>0.045</v>
      </c>
    </row>
    <row r="72" customFormat="false" ht="15" hidden="false" customHeight="true" outlineLevel="0" collapsed="false">
      <c r="A72" s="51" t="s">
        <v>157</v>
      </c>
      <c r="B72" s="55" t="n">
        <v>0</v>
      </c>
    </row>
    <row r="73" customFormat="false" ht="15" hidden="false" customHeight="true" outlineLevel="0" collapsed="false">
      <c r="A73" s="51" t="s">
        <v>158</v>
      </c>
      <c r="B73" s="55" t="n">
        <v>0.045</v>
      </c>
    </row>
    <row r="74" customFormat="false" ht="15" hidden="false" customHeight="true" outlineLevel="0" collapsed="false">
      <c r="A74" s="51" t="s">
        <v>159</v>
      </c>
      <c r="B74" s="55" t="n">
        <v>0.01</v>
      </c>
    </row>
    <row r="75" customFormat="false" ht="15" hidden="false" customHeight="true" outlineLevel="0" collapsed="false">
      <c r="A75" s="51" t="s">
        <v>160</v>
      </c>
      <c r="B75" s="59" t="n">
        <f aca="false">1-B74</f>
        <v>0.99</v>
      </c>
    </row>
    <row r="76" customFormat="false" ht="15" hidden="false" customHeight="true" outlineLevel="0" collapsed="false">
      <c r="A76" s="51" t="s">
        <v>161</v>
      </c>
      <c r="B76" s="53" t="s">
        <v>162</v>
      </c>
    </row>
    <row r="77" customFormat="false" ht="15" hidden="false" customHeight="true" outlineLevel="0" collapsed="false">
      <c r="A77" s="51" t="s">
        <v>163</v>
      </c>
      <c r="B77" s="55" t="n">
        <v>0.106353</v>
      </c>
    </row>
    <row r="78" customFormat="false" ht="15" hidden="false" customHeight="true" outlineLevel="0" collapsed="false">
      <c r="A78" s="41" t="s">
        <v>104</v>
      </c>
      <c r="B78" s="50" t="n">
        <f aca="false">IF(B76="Yes",B77,WACC!$B$17)</f>
        <v>0.106353</v>
      </c>
    </row>
    <row r="79" customFormat="false" ht="15" hidden="false" customHeight="true" outlineLevel="0" collapsed="false">
      <c r="A79" s="51" t="s">
        <v>164</v>
      </c>
      <c r="B79" s="53" t="s">
        <v>165</v>
      </c>
    </row>
    <row r="82" customFormat="false" ht="15" hidden="false" customHeight="true" outlineLevel="0" collapsed="false">
      <c r="A82" s="40" t="s">
        <v>166</v>
      </c>
      <c r="B82" s="40"/>
      <c r="C82" s="40"/>
      <c r="D82" s="40"/>
      <c r="E82" s="40"/>
      <c r="F82" s="40"/>
      <c r="G82" s="40"/>
      <c r="H82" s="40"/>
      <c r="I82" s="40"/>
      <c r="J82" s="40"/>
    </row>
    <row r="83" customFormat="false" ht="15" hidden="false" customHeight="true" outlineLevel="0" collapsed="false">
      <c r="A83" s="51" t="s">
        <v>105</v>
      </c>
      <c r="B83" s="55" t="n">
        <v>0.03</v>
      </c>
    </row>
    <row r="84" customFormat="false" ht="15" hidden="false" customHeight="true" outlineLevel="0" collapsed="false">
      <c r="A84" s="51" t="s">
        <v>167</v>
      </c>
      <c r="B84" s="60" t="n">
        <v>25</v>
      </c>
    </row>
    <row r="85" customFormat="false" ht="15" hidden="false" customHeight="true" outlineLevel="0" collapsed="false">
      <c r="A85" s="51" t="s">
        <v>46</v>
      </c>
      <c r="B85" s="61" t="n">
        <v>-68224</v>
      </c>
    </row>
    <row r="86" customFormat="false" ht="15" hidden="false" customHeight="true" outlineLevel="0" collapsed="false">
      <c r="A86" s="51" t="s">
        <v>52</v>
      </c>
      <c r="B86" s="62" t="n">
        <v>24391</v>
      </c>
    </row>
    <row r="87" customFormat="false" ht="15" hidden="false" customHeight="true" outlineLevel="0" collapsed="false">
      <c r="A87" s="51" t="s">
        <v>47</v>
      </c>
      <c r="B87" s="61" t="n">
        <v>0</v>
      </c>
    </row>
    <row r="88" customFormat="false" ht="15" hidden="false" customHeight="true" outlineLevel="0" collapsed="false">
      <c r="A88" s="51" t="s">
        <v>48</v>
      </c>
      <c r="B88" s="61" t="n">
        <v>0</v>
      </c>
    </row>
    <row r="89" customFormat="false" ht="15" hidden="false" customHeight="true" outlineLevel="0" collapsed="false">
      <c r="A89" s="51" t="s">
        <v>49</v>
      </c>
      <c r="B89" s="61" t="n">
        <v>0</v>
      </c>
    </row>
    <row r="90" customFormat="false" ht="15" hidden="false" customHeight="true" outlineLevel="0" collapsed="false">
      <c r="A90" s="51" t="s">
        <v>50</v>
      </c>
      <c r="B90" s="61" t="n">
        <v>0</v>
      </c>
    </row>
  </sheetData>
  <mergeCells count="14">
    <mergeCell ref="A1:J1"/>
    <mergeCell ref="A3:J3"/>
    <mergeCell ref="A17:J17"/>
    <mergeCell ref="A20:J20"/>
    <mergeCell ref="A25:J25"/>
    <mergeCell ref="A30:J30"/>
    <mergeCell ref="A35:J35"/>
    <mergeCell ref="A40:J40"/>
    <mergeCell ref="A45:J45"/>
    <mergeCell ref="A50:J50"/>
    <mergeCell ref="A55:J55"/>
    <mergeCell ref="A60:J60"/>
    <mergeCell ref="A68:J68"/>
    <mergeCell ref="A82:J82"/>
  </mergeCells>
  <dataValidations count="4">
    <dataValidation allowBlank="false" errorStyle="stop" operator="between" showDropDown="false" showErrorMessage="false" showInputMessage="false" sqref="B10" type="list">
      <formula1>"Base,Downside,Upside"</formula1>
      <formula2>0</formula2>
    </dataValidation>
    <dataValidation allowBlank="false" errorStyle="stop" operator="between" showDropDown="false" showErrorMessage="false" showInputMessage="false" sqref="B11" type="list">
      <formula1>"Yes,No"</formula1>
      <formula2>0</formula2>
    </dataValidation>
    <dataValidation allowBlank="false" errorStyle="stop" operator="between" showDropDown="false" showErrorMessage="false" showInputMessage="false" sqref="B14" type="list">
      <formula1>"Gordon Growth,Exit Multiple"</formula1>
      <formula2>0</formula2>
    </dataValidation>
    <dataValidation allowBlank="false" errorStyle="stop" operator="between" showDropDown="false" showErrorMessage="false" showInputMessage="false" sqref="B7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L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8" width="28"/>
    <col collapsed="false" customWidth="true" hidden="false" outlineLevel="0" max="10" min="2" style="38" width="13"/>
    <col collapsed="false" customWidth="true" hidden="false" outlineLevel="0" max="11" min="11" style="38" width="24"/>
    <col collapsed="false" customWidth="true" hidden="false" outlineLevel="0" max="12" min="12" style="38" width="20"/>
  </cols>
  <sheetData>
    <row r="1" customFormat="false" ht="24" hidden="false" customHeight="true" outlineLevel="0" collapsed="false">
      <c r="A1" s="39" t="s">
        <v>71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5" customFormat="false" ht="15" hidden="false" customHeight="true" outlineLevel="0" collapsed="false">
      <c r="A5" s="63" t="s">
        <v>168</v>
      </c>
      <c r="B5" s="64" t="s">
        <v>169</v>
      </c>
      <c r="C5" s="64" t="s">
        <v>170</v>
      </c>
      <c r="D5" s="64" t="s">
        <v>171</v>
      </c>
      <c r="E5" s="64" t="s">
        <v>172</v>
      </c>
      <c r="F5" s="64" t="s">
        <v>173</v>
      </c>
      <c r="G5" s="64" t="s">
        <v>133</v>
      </c>
      <c r="H5" s="64" t="s">
        <v>134</v>
      </c>
      <c r="I5" s="64" t="s">
        <v>135</v>
      </c>
      <c r="J5" s="64" t="s">
        <v>136</v>
      </c>
      <c r="K5" s="56" t="s">
        <v>174</v>
      </c>
      <c r="L5" s="56" t="s">
        <v>175</v>
      </c>
    </row>
    <row r="6" customFormat="false" ht="57" hidden="false" customHeight="true" outlineLevel="0" collapsed="false">
      <c r="A6" s="41" t="s">
        <v>27</v>
      </c>
      <c r="B6" s="61" t="n">
        <v>1000</v>
      </c>
      <c r="C6" s="61" t="n">
        <v>1120</v>
      </c>
      <c r="D6" s="61" t="n">
        <v>253491</v>
      </c>
      <c r="E6" s="65" t="n">
        <f aca="false">'Revenue Build'!E$14</f>
        <v>344747.76</v>
      </c>
      <c r="F6" s="65" t="n">
        <f aca="false">'Revenue Build'!F$14</f>
        <v>437829.6552</v>
      </c>
      <c r="G6" s="65" t="n">
        <f aca="false">'Revenue Build'!G$14</f>
        <v>529773.882792</v>
      </c>
      <c r="H6" s="65" t="n">
        <f aca="false">'Revenue Build'!H$14</f>
        <v>619835.44286664</v>
      </c>
      <c r="I6" s="65" t="n">
        <f aca="false">'Revenue Build'!I$14</f>
        <v>700414.050439303</v>
      </c>
      <c r="J6" s="65" t="n">
        <f aca="false">'Revenue Build'!J$14</f>
        <v>770455.455483233</v>
      </c>
      <c r="K6" s="43" t="s">
        <v>176</v>
      </c>
      <c r="L6" s="43" t="s">
        <v>177</v>
      </c>
    </row>
    <row r="7" customFormat="false" ht="15" hidden="false" customHeight="true" outlineLevel="0" collapsed="false">
      <c r="A7" s="46" t="s">
        <v>26</v>
      </c>
      <c r="B7" s="66" t="s">
        <v>178</v>
      </c>
      <c r="C7" s="59" t="n">
        <f aca="false">C6/B6-1</f>
        <v>0.12</v>
      </c>
      <c r="D7" s="59" t="n">
        <f aca="false">D6/C6-1</f>
        <v>225.33125</v>
      </c>
      <c r="E7" s="67" t="n">
        <f aca="false">E6/D6-1</f>
        <v>0.36</v>
      </c>
      <c r="F7" s="67" t="n">
        <f aca="false">F6/E6-1</f>
        <v>0.27</v>
      </c>
      <c r="G7" s="67" t="n">
        <f aca="false">G6/F6-1</f>
        <v>0.21</v>
      </c>
      <c r="H7" s="67" t="n">
        <f aca="false">H6/G6-1</f>
        <v>0.17</v>
      </c>
      <c r="I7" s="67" t="n">
        <f aca="false">I6/H6-1</f>
        <v>0.13</v>
      </c>
      <c r="J7" s="67" t="n">
        <f aca="false">J6/I6-1</f>
        <v>0.1</v>
      </c>
      <c r="K7" s="43" t="s">
        <v>179</v>
      </c>
      <c r="L7" s="43" t="s">
        <v>180</v>
      </c>
    </row>
    <row r="8" customFormat="false" ht="57" hidden="false" customHeight="true" outlineLevel="0" collapsed="false">
      <c r="A8" s="46" t="s">
        <v>181</v>
      </c>
      <c r="B8" s="61" t="n">
        <v>560</v>
      </c>
      <c r="C8" s="61" t="n">
        <v>638.4</v>
      </c>
      <c r="D8" s="61" t="n">
        <v>719.2</v>
      </c>
      <c r="E8" s="65" t="n">
        <f aca="false">'Margin Cost Build'!E$9</f>
        <v>341300.2824</v>
      </c>
      <c r="F8" s="65" t="n">
        <f aca="false">'Margin Cost Build'!F$9</f>
        <v>429948.7214064</v>
      </c>
      <c r="G8" s="65" t="n">
        <f aca="false">'Margin Cost Build'!G$9</f>
        <v>510702.023011488</v>
      </c>
      <c r="H8" s="65" t="n">
        <f aca="false">'Margin Cost Build'!H$9</f>
        <v>586364.328951841</v>
      </c>
      <c r="I8" s="65" t="n">
        <f aca="false">'Margin Cost Build'!I$9</f>
        <v>649283.824757234</v>
      </c>
      <c r="J8" s="65" t="n">
        <f aca="false">'Margin Cost Build'!J$9</f>
        <v>698803.098123293</v>
      </c>
      <c r="K8" s="43" t="s">
        <v>176</v>
      </c>
      <c r="L8" s="43" t="s">
        <v>177</v>
      </c>
    </row>
    <row r="9" customFormat="false" ht="15" hidden="false" customHeight="true" outlineLevel="0" collapsed="false">
      <c r="A9" s="46" t="s">
        <v>182</v>
      </c>
      <c r="B9" s="59" t="n">
        <f aca="false">B8/B6</f>
        <v>0.56</v>
      </c>
      <c r="C9" s="59" t="n">
        <f aca="false">C8/C6</f>
        <v>0.57</v>
      </c>
      <c r="D9" s="59" t="n">
        <f aca="false">D8/D6</f>
        <v>0.00283718159619079</v>
      </c>
      <c r="E9" s="67" t="n">
        <f aca="false">E8/E6</f>
        <v>0.99</v>
      </c>
      <c r="F9" s="67" t="n">
        <f aca="false">F8/F6</f>
        <v>0.982</v>
      </c>
      <c r="G9" s="67" t="n">
        <f aca="false">G8/G6</f>
        <v>0.964</v>
      </c>
      <c r="H9" s="67" t="n">
        <f aca="false">H8/H6</f>
        <v>0.946</v>
      </c>
      <c r="I9" s="67" t="n">
        <f aca="false">I8/I6</f>
        <v>0.927</v>
      </c>
      <c r="J9" s="67" t="n">
        <f aca="false">J8/J6</f>
        <v>0.907</v>
      </c>
      <c r="K9" s="43" t="s">
        <v>179</v>
      </c>
      <c r="L9" s="43" t="s">
        <v>180</v>
      </c>
    </row>
    <row r="10" customFormat="false" ht="57" hidden="false" customHeight="true" outlineLevel="0" collapsed="false">
      <c r="A10" s="41" t="s">
        <v>183</v>
      </c>
      <c r="B10" s="61" t="n">
        <v>210</v>
      </c>
      <c r="C10" s="61" t="n">
        <v>252</v>
      </c>
      <c r="D10" s="61" t="n">
        <v>165514</v>
      </c>
      <c r="E10" s="65" t="n">
        <f aca="false">'Margin Cost Build'!E$12</f>
        <v>222362.3052</v>
      </c>
      <c r="F10" s="65" t="n">
        <f aca="false">'Margin Cost Build'!F$12</f>
        <v>278897.4903624</v>
      </c>
      <c r="G10" s="65" t="n">
        <f aca="false">'Margin Cost Build'!G$12</f>
        <v>327930.033448248</v>
      </c>
      <c r="H10" s="65" t="n">
        <f aca="false">'Margin Cost Build'!H$12</f>
        <v>372521.101162851</v>
      </c>
      <c r="I10" s="65" t="n">
        <f aca="false">'Margin Cost Build'!I$12</f>
        <v>407640.977355674</v>
      </c>
      <c r="J10" s="65" t="n">
        <f aca="false">'Margin Cost Build'!J$12</f>
        <v>432995.965981577</v>
      </c>
      <c r="K10" s="43" t="s">
        <v>176</v>
      </c>
      <c r="L10" s="43" t="s">
        <v>177</v>
      </c>
    </row>
    <row r="11" customFormat="false" ht="15" hidden="false" customHeight="true" outlineLevel="0" collapsed="false">
      <c r="A11" s="46" t="s">
        <v>184</v>
      </c>
      <c r="B11" s="59" t="n">
        <f aca="false">B10/B6</f>
        <v>0.21</v>
      </c>
      <c r="C11" s="59" t="n">
        <f aca="false">C10/C6</f>
        <v>0.225</v>
      </c>
      <c r="D11" s="59" t="n">
        <f aca="false">D10/D6</f>
        <v>0.652938368620582</v>
      </c>
      <c r="E11" s="67" t="n">
        <f aca="false">E10/E6</f>
        <v>0.645</v>
      </c>
      <c r="F11" s="67" t="n">
        <f aca="false">F10/F6</f>
        <v>0.637</v>
      </c>
      <c r="G11" s="67" t="n">
        <f aca="false">G10/G6</f>
        <v>0.619</v>
      </c>
      <c r="H11" s="67" t="n">
        <f aca="false">H10/H6</f>
        <v>0.601</v>
      </c>
      <c r="I11" s="67" t="n">
        <f aca="false">I10/I6</f>
        <v>0.582</v>
      </c>
      <c r="J11" s="67" t="n">
        <f aca="false">J10/J6</f>
        <v>0.562</v>
      </c>
      <c r="K11" s="43" t="s">
        <v>179</v>
      </c>
      <c r="L11" s="43" t="s">
        <v>180</v>
      </c>
    </row>
    <row r="12" customFormat="false" ht="57" hidden="false" customHeight="true" outlineLevel="0" collapsed="false">
      <c r="A12" s="46" t="s">
        <v>33</v>
      </c>
      <c r="B12" s="61" t="n">
        <v>55</v>
      </c>
      <c r="C12" s="61" t="n">
        <v>61.6</v>
      </c>
      <c r="D12" s="61" t="n">
        <v>3229</v>
      </c>
      <c r="E12" s="65" t="n">
        <f aca="false">'Capex D&amp;A'!E$12</f>
        <v>5171.2164</v>
      </c>
      <c r="F12" s="65" t="n">
        <f aca="false">'Capex D&amp;A'!F$12</f>
        <v>7443.1041384</v>
      </c>
      <c r="G12" s="65" t="n">
        <f aca="false">'Capex D&amp;A'!G$12</f>
        <v>10065.703773048</v>
      </c>
      <c r="H12" s="65" t="n">
        <f aca="false">'Capex D&amp;A'!H$12</f>
        <v>13016.5443001994</v>
      </c>
      <c r="I12" s="65" t="n">
        <f aca="false">'Capex D&amp;A'!I$12</f>
        <v>15409.1091096647</v>
      </c>
      <c r="J12" s="65" t="n">
        <f aca="false">'Capex D&amp;A'!J$12</f>
        <v>16950.0200206311</v>
      </c>
      <c r="K12" s="43" t="s">
        <v>176</v>
      </c>
      <c r="L12" s="43" t="s">
        <v>177</v>
      </c>
    </row>
    <row r="13" customFormat="false" ht="57" hidden="false" customHeight="true" outlineLevel="0" collapsed="false">
      <c r="A13" s="41" t="s">
        <v>29</v>
      </c>
      <c r="B13" s="61" t="n">
        <v>155</v>
      </c>
      <c r="C13" s="61" t="n">
        <v>190.4</v>
      </c>
      <c r="D13" s="61" t="n">
        <v>162285</v>
      </c>
      <c r="E13" s="65" t="n">
        <f aca="false">'Margin Cost Build'!E$15</f>
        <v>217191.0888</v>
      </c>
      <c r="F13" s="65" t="n">
        <f aca="false">'Margin Cost Build'!F$15</f>
        <v>271454.386224</v>
      </c>
      <c r="G13" s="65" t="n">
        <f aca="false">'Margin Cost Build'!G$15</f>
        <v>317864.3296752</v>
      </c>
      <c r="H13" s="65" t="n">
        <f aca="false">'Margin Cost Build'!H$15</f>
        <v>359504.556862651</v>
      </c>
      <c r="I13" s="65" t="n">
        <f aca="false">'Margin Cost Build'!I$15</f>
        <v>392231.86824601</v>
      </c>
      <c r="J13" s="65" t="n">
        <f aca="false">'Margin Cost Build'!J$15</f>
        <v>416045.945960946</v>
      </c>
      <c r="K13" s="43" t="s">
        <v>176</v>
      </c>
      <c r="L13" s="43" t="s">
        <v>177</v>
      </c>
    </row>
    <row r="14" customFormat="false" ht="15" hidden="false" customHeight="true" outlineLevel="0" collapsed="false">
      <c r="A14" s="46" t="s">
        <v>28</v>
      </c>
      <c r="B14" s="59" t="n">
        <f aca="false">B13/B6</f>
        <v>0.155</v>
      </c>
      <c r="C14" s="59" t="n">
        <f aca="false">C13/C6</f>
        <v>0.17</v>
      </c>
      <c r="D14" s="59" t="n">
        <f aca="false">D13/D6</f>
        <v>0.640200243795638</v>
      </c>
      <c r="E14" s="67" t="n">
        <f aca="false">E13/E6</f>
        <v>0.63</v>
      </c>
      <c r="F14" s="67" t="n">
        <f aca="false">F13/F6</f>
        <v>0.62</v>
      </c>
      <c r="G14" s="67" t="n">
        <f aca="false">G13/G6</f>
        <v>0.6</v>
      </c>
      <c r="H14" s="67" t="n">
        <f aca="false">H13/H6</f>
        <v>0.58</v>
      </c>
      <c r="I14" s="67" t="n">
        <f aca="false">I13/I6</f>
        <v>0.56</v>
      </c>
      <c r="J14" s="67" t="n">
        <f aca="false">J13/J6</f>
        <v>0.54</v>
      </c>
      <c r="K14" s="43" t="s">
        <v>179</v>
      </c>
      <c r="L14" s="43" t="s">
        <v>180</v>
      </c>
    </row>
    <row r="15" customFormat="false" ht="57" hidden="false" customHeight="true" outlineLevel="0" collapsed="false">
      <c r="A15" s="46" t="s">
        <v>185</v>
      </c>
      <c r="B15" s="61" t="n">
        <v>34.1</v>
      </c>
      <c r="C15" s="61" t="n">
        <v>43.8</v>
      </c>
      <c r="D15" s="61" t="n">
        <v>26000</v>
      </c>
      <c r="E15" s="65" t="n">
        <f aca="false">'Tax Schedule'!E$12</f>
        <v>36922.485096</v>
      </c>
      <c r="F15" s="65" t="n">
        <f aca="false">'Tax Schedule'!F$12</f>
        <v>46147.24565808</v>
      </c>
      <c r="G15" s="65" t="n">
        <f aca="false">'Tax Schedule'!G$12</f>
        <v>54036.936044784</v>
      </c>
      <c r="H15" s="65" t="n">
        <f aca="false">'Tax Schedule'!H$12</f>
        <v>61115.7746666507</v>
      </c>
      <c r="I15" s="65" t="n">
        <f aca="false">'Tax Schedule'!I$12</f>
        <v>66679.4176018216</v>
      </c>
      <c r="J15" s="65" t="n">
        <f aca="false">'Tax Schedule'!J$12</f>
        <v>70727.8108133608</v>
      </c>
      <c r="K15" s="43" t="s">
        <v>176</v>
      </c>
      <c r="L15" s="43" t="s">
        <v>177</v>
      </c>
    </row>
    <row r="16" customFormat="false" ht="57" hidden="false" customHeight="true" outlineLevel="0" collapsed="false">
      <c r="A16" s="46" t="s">
        <v>186</v>
      </c>
      <c r="B16" s="61" t="n">
        <v>86</v>
      </c>
      <c r="C16" s="61" t="n">
        <v>112</v>
      </c>
      <c r="D16" s="61" t="n">
        <v>142</v>
      </c>
      <c r="E16" s="65" t="n">
        <f aca="false">E13-E15</f>
        <v>180268.603704</v>
      </c>
      <c r="F16" s="65" t="n">
        <f aca="false">F13-F15</f>
        <v>225307.14056592</v>
      </c>
      <c r="G16" s="65" t="n">
        <f aca="false">G13-G15</f>
        <v>263827.393630416</v>
      </c>
      <c r="H16" s="65" t="n">
        <f aca="false">H13-H15</f>
        <v>298388.782196</v>
      </c>
      <c r="I16" s="65" t="n">
        <f aca="false">I13-I15</f>
        <v>325552.450644188</v>
      </c>
      <c r="J16" s="65" t="n">
        <f aca="false">J13-J15</f>
        <v>345318.135147585</v>
      </c>
      <c r="K16" s="43" t="s">
        <v>176</v>
      </c>
      <c r="L16" s="43" t="s">
        <v>177</v>
      </c>
    </row>
    <row r="17" customFormat="false" ht="57" hidden="false" customHeight="true" outlineLevel="0" collapsed="false">
      <c r="A17" s="46" t="s">
        <v>35</v>
      </c>
      <c r="B17" s="61" t="n">
        <v>78</v>
      </c>
      <c r="C17" s="61" t="n">
        <v>82</v>
      </c>
      <c r="D17" s="61" t="n">
        <v>6572</v>
      </c>
      <c r="E17" s="65" t="n">
        <f aca="false">'Capex D&amp;A'!E$9</f>
        <v>10342.4328</v>
      </c>
      <c r="F17" s="65" t="n">
        <f aca="false">'Capex D&amp;A'!F$9</f>
        <v>14010.5489664</v>
      </c>
      <c r="G17" s="65" t="n">
        <f aca="false">'Capex D&amp;A'!G$9</f>
        <v>18012.312014928</v>
      </c>
      <c r="H17" s="65" t="n">
        <f aca="false">'Capex D&amp;A'!H$9</f>
        <v>21694.2405003324</v>
      </c>
      <c r="I17" s="65" t="n">
        <f aca="false">'Capex D&amp;A'!I$9</f>
        <v>24514.4917653756</v>
      </c>
      <c r="J17" s="65" t="n">
        <f aca="false">'Capex D&amp;A'!J$9</f>
        <v>26965.9409419132</v>
      </c>
      <c r="K17" s="43" t="s">
        <v>176</v>
      </c>
      <c r="L17" s="43" t="s">
        <v>177</v>
      </c>
    </row>
    <row r="18" customFormat="false" ht="57" hidden="false" customHeight="true" outlineLevel="0" collapsed="false">
      <c r="A18" s="46" t="s">
        <v>187</v>
      </c>
      <c r="B18" s="61" t="n">
        <v>118</v>
      </c>
      <c r="C18" s="61" t="n">
        <v>132</v>
      </c>
      <c r="D18" s="61" t="n">
        <v>27539</v>
      </c>
      <c r="E18" s="65" t="n">
        <f aca="false">'Working Capital'!E$16</f>
        <v>37922.2536</v>
      </c>
      <c r="F18" s="65" t="n">
        <f aca="false">'Working Capital'!F$16</f>
        <v>45972.113796</v>
      </c>
      <c r="G18" s="65" t="n">
        <f aca="false">'Working Capital'!G$16</f>
        <v>52977.3882792</v>
      </c>
      <c r="H18" s="65" t="n">
        <f aca="false">'Working Capital'!H$16</f>
        <v>58884.3670723308</v>
      </c>
      <c r="I18" s="65" t="n">
        <f aca="false">'Working Capital'!I$16</f>
        <v>63037.2645395373</v>
      </c>
      <c r="J18" s="65" t="n">
        <f aca="false">'Working Capital'!J$16</f>
        <v>69340.990993491</v>
      </c>
      <c r="K18" s="43" t="s">
        <v>176</v>
      </c>
      <c r="L18" s="43" t="s">
        <v>177</v>
      </c>
    </row>
    <row r="19" customFormat="false" ht="15" hidden="false" customHeight="true" outlineLevel="0" collapsed="false">
      <c r="A19" s="46" t="s">
        <v>38</v>
      </c>
      <c r="B19" s="66" t="s">
        <v>178</v>
      </c>
      <c r="C19" s="59" t="n">
        <f aca="false">C18/C6-B18/B6</f>
        <v>-0.000142857142857139</v>
      </c>
      <c r="D19" s="59" t="n">
        <f aca="false">D18/D6-C18/C6</f>
        <v>-0.00921817737118871</v>
      </c>
      <c r="E19" s="67" t="n">
        <f aca="false">'Working Capital'!E$17</f>
        <v>10383.2536</v>
      </c>
      <c r="F19" s="67" t="n">
        <f aca="false">'Working Capital'!F$17</f>
        <v>8049.86019599999</v>
      </c>
      <c r="G19" s="67" t="n">
        <f aca="false">'Working Capital'!G$17</f>
        <v>7005.2744832</v>
      </c>
      <c r="H19" s="67" t="n">
        <f aca="false">'Working Capital'!H$17</f>
        <v>5906.9787931308</v>
      </c>
      <c r="I19" s="67" t="n">
        <f aca="false">'Working Capital'!I$17</f>
        <v>4152.89746720648</v>
      </c>
      <c r="J19" s="67" t="n">
        <f aca="false">'Working Capital'!J$17</f>
        <v>6303.72645395374</v>
      </c>
      <c r="K19" s="43" t="s">
        <v>179</v>
      </c>
      <c r="L19" s="43" t="s">
        <v>180</v>
      </c>
    </row>
    <row r="20" customFormat="false" ht="57" hidden="false" customHeight="true" outlineLevel="0" collapsed="false">
      <c r="A20" s="41" t="s">
        <v>77</v>
      </c>
      <c r="B20" s="61" t="n">
        <v>86</v>
      </c>
      <c r="C20" s="61" t="n">
        <v>98</v>
      </c>
      <c r="D20" s="61" t="n">
        <v>130905</v>
      </c>
      <c r="E20" s="65" t="n">
        <f aca="false">'Unlevered FCF'!E$11</f>
        <v>5171.2164</v>
      </c>
      <c r="F20" s="65" t="n">
        <f aca="false">'Unlevered FCF'!F$11</f>
        <v>7443.1041384</v>
      </c>
      <c r="G20" s="65" t="n">
        <f aca="false">'Unlevered FCF'!G$11</f>
        <v>10065.703773048</v>
      </c>
      <c r="H20" s="65" t="n">
        <f aca="false">'Unlevered FCF'!H$11</f>
        <v>13016.5443001994</v>
      </c>
      <c r="I20" s="65" t="n">
        <f aca="false">'Unlevered FCF'!I$11</f>
        <v>15409.1091096647</v>
      </c>
      <c r="J20" s="65" t="n">
        <f aca="false">'Unlevered FCF'!J$11</f>
        <v>16950.0200206311</v>
      </c>
      <c r="K20" s="43" t="s">
        <v>176</v>
      </c>
      <c r="L20" s="43" t="s">
        <v>177</v>
      </c>
    </row>
    <row r="21" customFormat="false" ht="57" hidden="false" customHeight="true" outlineLevel="0" collapsed="false">
      <c r="A21" s="46" t="s">
        <v>188</v>
      </c>
      <c r="B21" s="61" t="n">
        <v>420</v>
      </c>
      <c r="C21" s="61" t="n">
        <v>440.4</v>
      </c>
      <c r="D21" s="61" t="n">
        <v>460.2</v>
      </c>
      <c r="E21" s="65" t="n">
        <f aca="false">'Capex D&amp;A'!E$13</f>
        <v>8954.6164</v>
      </c>
      <c r="F21" s="65" t="n">
        <f aca="false">'Capex D&amp;A'!F$13</f>
        <v>15522.061228</v>
      </c>
      <c r="G21" s="65" t="n">
        <f aca="false">'Capex D&amp;A'!G$13</f>
        <v>23468.66946988</v>
      </c>
      <c r="H21" s="65" t="n">
        <f aca="false">'Capex D&amp;A'!H$13</f>
        <v>32146.365670013</v>
      </c>
      <c r="I21" s="65" t="n">
        <f aca="false">'Capex D&amp;A'!I$13</f>
        <v>41251.7483257239</v>
      </c>
      <c r="J21" s="65" t="n">
        <f aca="false">'Capex D&amp;A'!J$13</f>
        <v>51267.6692470059</v>
      </c>
      <c r="K21" s="43" t="s">
        <v>176</v>
      </c>
      <c r="L21" s="43" t="s">
        <v>177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J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8" width="30"/>
    <col collapsed="false" customWidth="true" hidden="false" outlineLevel="0" max="10" min="2" style="38" width="13"/>
  </cols>
  <sheetData>
    <row r="1" customFormat="false" ht="24" hidden="false" customHeight="true" outlineLevel="0" collapsed="false">
      <c r="A1" s="39" t="s">
        <v>72</v>
      </c>
      <c r="B1" s="39"/>
      <c r="C1" s="39"/>
      <c r="D1" s="39"/>
      <c r="E1" s="39"/>
      <c r="F1" s="39"/>
      <c r="G1" s="39"/>
      <c r="H1" s="39"/>
      <c r="I1" s="39"/>
      <c r="J1" s="39"/>
    </row>
    <row r="5" customFormat="false" ht="15" hidden="false" customHeight="true" outlineLevel="0" collapsed="false">
      <c r="A5" s="63" t="s">
        <v>168</v>
      </c>
      <c r="B5" s="64" t="s">
        <v>169</v>
      </c>
      <c r="C5" s="64" t="s">
        <v>170</v>
      </c>
      <c r="D5" s="64" t="s">
        <v>189</v>
      </c>
      <c r="E5" s="64" t="s">
        <v>172</v>
      </c>
      <c r="F5" s="64" t="s">
        <v>173</v>
      </c>
      <c r="G5" s="64" t="s">
        <v>133</v>
      </c>
      <c r="H5" s="64" t="s">
        <v>134</v>
      </c>
      <c r="I5" s="64" t="s">
        <v>135</v>
      </c>
      <c r="J5" s="64" t="s">
        <v>136</v>
      </c>
    </row>
    <row r="7" customFormat="false" ht="15" hidden="false" customHeight="true" outlineLevel="0" collapsed="false">
      <c r="A7" s="40" t="s">
        <v>190</v>
      </c>
      <c r="B7" s="40"/>
      <c r="C7" s="40"/>
      <c r="D7" s="40"/>
      <c r="E7" s="40"/>
      <c r="F7" s="40"/>
      <c r="G7" s="40"/>
      <c r="H7" s="40"/>
      <c r="I7" s="40"/>
      <c r="J7" s="40"/>
    </row>
    <row r="8" customFormat="false" ht="15" hidden="false" customHeight="true" outlineLevel="0" collapsed="false">
      <c r="A8" s="46" t="s">
        <v>191</v>
      </c>
      <c r="B8" s="68" t="s">
        <v>192</v>
      </c>
      <c r="C8" s="68" t="s">
        <v>192</v>
      </c>
      <c r="D8" s="68" t="s">
        <v>192</v>
      </c>
      <c r="E8" s="65" t="str">
        <f aca="false">'Control Panel'!$B$10</f>
        <v>Base</v>
      </c>
      <c r="F8" s="65" t="str">
        <f aca="false">'Control Panel'!$B$10</f>
        <v>Base</v>
      </c>
      <c r="G8" s="65" t="str">
        <f aca="false">'Control Panel'!$B$10</f>
        <v>Base</v>
      </c>
      <c r="H8" s="65" t="str">
        <f aca="false">'Control Panel'!$B$10</f>
        <v>Base</v>
      </c>
      <c r="I8" s="65" t="str">
        <f aca="false">'Control Panel'!$B$10</f>
        <v>Base</v>
      </c>
      <c r="J8" s="65" t="str">
        <f aca="false">'Control Panel'!$B$10</f>
        <v>Base</v>
      </c>
    </row>
    <row r="9" customFormat="false" ht="15" hidden="false" customHeight="true" outlineLevel="0" collapsed="false">
      <c r="A9" s="46" t="s">
        <v>193</v>
      </c>
      <c r="B9" s="66" t="s">
        <v>178</v>
      </c>
      <c r="C9" s="59" t="n">
        <f aca="false">C14/B14-1</f>
        <v>0.12</v>
      </c>
      <c r="D9" s="59" t="n">
        <f aca="false">D14/C14-1</f>
        <v>225.33125</v>
      </c>
      <c r="E9" s="67" t="n">
        <f aca="false">INDEX('Control Panel'!B$21:B$23,MATCH('Control Panel'!$B$10,'Control Panel'!$A$21:$A$23,0))</f>
        <v>0.36</v>
      </c>
      <c r="F9" s="67" t="n">
        <f aca="false">INDEX('Control Panel'!C$21:C$23,MATCH('Control Panel'!$B$10,'Control Panel'!$A$21:$A$23,0))</f>
        <v>0.27</v>
      </c>
      <c r="G9" s="67" t="n">
        <f aca="false">INDEX('Control Panel'!D$21:D$23,MATCH('Control Panel'!$B$10,'Control Panel'!$A$21:$A$23,0))</f>
        <v>0.21</v>
      </c>
      <c r="H9" s="67" t="n">
        <f aca="false">INDEX('Control Panel'!E$21:E$23,MATCH('Control Panel'!$B$10,'Control Panel'!$A$21:$A$23,0))</f>
        <v>0.17</v>
      </c>
      <c r="I9" s="67" t="n">
        <f aca="false">INDEX('Control Panel'!F$21:F$23,MATCH('Control Panel'!$B$10,'Control Panel'!$A$21:$A$23,0))</f>
        <v>0.13</v>
      </c>
      <c r="J9" s="67" t="n">
        <f aca="false">INDEX('Control Panel'!G$21:G$23,MATCH('Control Panel'!$B$10,'Control Panel'!$A$21:$A$23,0))</f>
        <v>0.1</v>
      </c>
    </row>
    <row r="10" customFormat="false" ht="15" hidden="false" customHeight="true" outlineLevel="0" collapsed="false">
      <c r="A10" s="46" t="s">
        <v>194</v>
      </c>
      <c r="B10" s="61" t="n">
        <v>780</v>
      </c>
      <c r="C10" s="61" t="n">
        <v>873.6</v>
      </c>
      <c r="D10" s="61" t="n">
        <v>253491</v>
      </c>
      <c r="E10" s="69" t="n">
        <f aca="false">D10*(1+E9)</f>
        <v>344747.76</v>
      </c>
      <c r="F10" s="69" t="n">
        <f aca="false">E10*(1+F9)</f>
        <v>437829.6552</v>
      </c>
      <c r="G10" s="69" t="n">
        <f aca="false">F10*(1+G9)</f>
        <v>529773.882792</v>
      </c>
      <c r="H10" s="69" t="n">
        <f aca="false">G10*(1+H9)</f>
        <v>619835.44286664</v>
      </c>
      <c r="I10" s="69" t="n">
        <f aca="false">H10*(1+I9)</f>
        <v>700414.050439303</v>
      </c>
      <c r="J10" s="69" t="n">
        <f aca="false">I10*(1+J9)</f>
        <v>770455.455483233</v>
      </c>
    </row>
    <row r="11" customFormat="false" ht="15" hidden="false" customHeight="true" outlineLevel="0" collapsed="false">
      <c r="A11" s="46" t="s">
        <v>195</v>
      </c>
      <c r="B11" s="61" t="n">
        <v>220</v>
      </c>
      <c r="C11" s="61" t="n">
        <v>246.4</v>
      </c>
      <c r="D11" s="61" t="n">
        <v>0</v>
      </c>
      <c r="E11" s="69" t="n">
        <f aca="false">D11*(1+E9*'Control Panel'!$B$15)</f>
        <v>0</v>
      </c>
      <c r="F11" s="69" t="n">
        <f aca="false">E11*(1+F9*'Control Panel'!$B$15)</f>
        <v>0</v>
      </c>
      <c r="G11" s="69" t="n">
        <f aca="false">F11*(1+G9*'Control Panel'!$B$15)</f>
        <v>0</v>
      </c>
      <c r="H11" s="69" t="n">
        <f aca="false">G11*(1+H9*'Control Panel'!$B$15)</f>
        <v>0</v>
      </c>
      <c r="I11" s="69" t="n">
        <f aca="false">H11*(1+I9*'Control Panel'!$B$15)</f>
        <v>0</v>
      </c>
      <c r="J11" s="69" t="n">
        <f aca="false">I11*(1+J9*'Control Panel'!$B$15)</f>
        <v>0</v>
      </c>
    </row>
    <row r="12" customFormat="false" ht="15" hidden="false" customHeight="true" outlineLevel="0" collapsed="false">
      <c r="A12" s="46" t="s">
        <v>196</v>
      </c>
      <c r="B12" s="59" t="n">
        <f aca="false">B10/B14</f>
        <v>0.78</v>
      </c>
      <c r="C12" s="59" t="n">
        <f aca="false">C10/C14</f>
        <v>0.78</v>
      </c>
      <c r="D12" s="59" t="n">
        <f aca="false">D10/D14</f>
        <v>1</v>
      </c>
      <c r="E12" s="59" t="n">
        <f aca="false">E10/E14</f>
        <v>1</v>
      </c>
      <c r="F12" s="59" t="n">
        <f aca="false">F10/F14</f>
        <v>1</v>
      </c>
      <c r="G12" s="59" t="n">
        <f aca="false">G10/G14</f>
        <v>1</v>
      </c>
      <c r="H12" s="59" t="n">
        <f aca="false">H10/H14</f>
        <v>1</v>
      </c>
      <c r="I12" s="59" t="n">
        <f aca="false">I10/I14</f>
        <v>1</v>
      </c>
      <c r="J12" s="59" t="n">
        <f aca="false">J10/J14</f>
        <v>1</v>
      </c>
    </row>
    <row r="14" customFormat="false" ht="15" hidden="false" customHeight="true" outlineLevel="0" collapsed="false">
      <c r="A14" s="41" t="s">
        <v>197</v>
      </c>
      <c r="B14" s="47" t="n">
        <f aca="false">SUM(B10:B11)</f>
        <v>1000</v>
      </c>
      <c r="C14" s="47" t="n">
        <f aca="false">SUM(C10:C11)</f>
        <v>1120</v>
      </c>
      <c r="D14" s="47" t="n">
        <f aca="false">SUM(D10:D11)</f>
        <v>253491</v>
      </c>
      <c r="E14" s="47" t="n">
        <f aca="false">SUM(E10:E11)</f>
        <v>344747.76</v>
      </c>
      <c r="F14" s="47" t="n">
        <f aca="false">SUM(F10:F11)</f>
        <v>437829.6552</v>
      </c>
      <c r="G14" s="47" t="n">
        <f aca="false">SUM(G10:G11)</f>
        <v>529773.882792</v>
      </c>
      <c r="H14" s="47" t="n">
        <f aca="false">SUM(H10:H11)</f>
        <v>619835.44286664</v>
      </c>
      <c r="I14" s="47" t="n">
        <f aca="false">SUM(I10:I11)</f>
        <v>700414.050439303</v>
      </c>
      <c r="J14" s="47" t="n">
        <f aca="false">SUM(J10:J11)</f>
        <v>770455.455483233</v>
      </c>
    </row>
    <row r="15" customFormat="false" ht="15" hidden="false" customHeight="true" outlineLevel="0" collapsed="false">
      <c r="A15" s="41" t="s">
        <v>198</v>
      </c>
      <c r="B15" s="70" t="s">
        <v>178</v>
      </c>
      <c r="C15" s="50" t="n">
        <f aca="false">C14/B14-1</f>
        <v>0.12</v>
      </c>
      <c r="D15" s="50" t="n">
        <f aca="false">D14/C14-1</f>
        <v>225.33125</v>
      </c>
      <c r="E15" s="50" t="n">
        <f aca="false">E14/D14-1</f>
        <v>0.36</v>
      </c>
      <c r="F15" s="50" t="n">
        <f aca="false">F14/E14-1</f>
        <v>0.27</v>
      </c>
      <c r="G15" s="50" t="n">
        <f aca="false">G14/F14-1</f>
        <v>0.21</v>
      </c>
      <c r="H15" s="50" t="n">
        <f aca="false">H14/G14-1</f>
        <v>0.17</v>
      </c>
      <c r="I15" s="50" t="n">
        <f aca="false">I14/H14-1</f>
        <v>0.13</v>
      </c>
      <c r="J15" s="50" t="n">
        <f aca="false">J14/I14-1</f>
        <v>0.1</v>
      </c>
    </row>
  </sheetData>
  <mergeCells count="2">
    <mergeCell ref="A1:J1"/>
    <mergeCell ref="A7:J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J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8" width="30"/>
    <col collapsed="false" customWidth="true" hidden="false" outlineLevel="0" max="10" min="2" style="38" width="13"/>
  </cols>
  <sheetData>
    <row r="1" customFormat="false" ht="24" hidden="false" customHeight="true" outlineLevel="0" collapsed="false">
      <c r="A1" s="39" t="s">
        <v>199</v>
      </c>
      <c r="B1" s="39"/>
      <c r="C1" s="39"/>
      <c r="D1" s="39"/>
      <c r="E1" s="39"/>
      <c r="F1" s="39"/>
      <c r="G1" s="39"/>
      <c r="H1" s="39"/>
      <c r="I1" s="39"/>
      <c r="J1" s="39"/>
    </row>
    <row r="5" customFormat="false" ht="15" hidden="false" customHeight="true" outlineLevel="0" collapsed="false">
      <c r="A5" s="63" t="s">
        <v>168</v>
      </c>
      <c r="B5" s="64" t="s">
        <v>169</v>
      </c>
      <c r="C5" s="64" t="s">
        <v>170</v>
      </c>
      <c r="D5" s="64" t="s">
        <v>189</v>
      </c>
      <c r="E5" s="64" t="s">
        <v>172</v>
      </c>
      <c r="F5" s="64" t="s">
        <v>173</v>
      </c>
      <c r="G5" s="64" t="s">
        <v>133</v>
      </c>
      <c r="H5" s="64" t="s">
        <v>134</v>
      </c>
      <c r="I5" s="64" t="s">
        <v>135</v>
      </c>
      <c r="J5" s="64" t="s">
        <v>136</v>
      </c>
    </row>
    <row r="7" customFormat="false" ht="15" hidden="false" customHeight="true" outlineLevel="0" collapsed="false">
      <c r="A7" s="40" t="s">
        <v>200</v>
      </c>
      <c r="B7" s="40"/>
      <c r="C7" s="40"/>
      <c r="D7" s="40"/>
      <c r="E7" s="40"/>
      <c r="F7" s="40"/>
      <c r="G7" s="40"/>
      <c r="H7" s="40"/>
      <c r="I7" s="40"/>
      <c r="J7" s="40"/>
    </row>
    <row r="8" customFormat="false" ht="15" hidden="false" customHeight="true" outlineLevel="0" collapsed="false">
      <c r="A8" s="41" t="s">
        <v>27</v>
      </c>
      <c r="B8" s="65" t="n">
        <f aca="false">'Historical Financials'!B$6</f>
        <v>1000</v>
      </c>
      <c r="C8" s="65" t="n">
        <f aca="false">'Historical Financials'!C$6</f>
        <v>1120</v>
      </c>
      <c r="D8" s="65" t="n">
        <f aca="false">'Historical Financials'!D$6</f>
        <v>253491</v>
      </c>
      <c r="E8" s="65" t="n">
        <f aca="false">'Revenue Build'!E$14</f>
        <v>344747.76</v>
      </c>
      <c r="F8" s="65" t="n">
        <f aca="false">'Revenue Build'!F$14</f>
        <v>437829.6552</v>
      </c>
      <c r="G8" s="65" t="n">
        <f aca="false">'Revenue Build'!G$14</f>
        <v>529773.882792</v>
      </c>
      <c r="H8" s="65" t="n">
        <f aca="false">'Revenue Build'!H$14</f>
        <v>619835.44286664</v>
      </c>
      <c r="I8" s="65" t="n">
        <f aca="false">'Revenue Build'!I$14</f>
        <v>700414.050439303</v>
      </c>
      <c r="J8" s="65" t="n">
        <f aca="false">'Revenue Build'!J$14</f>
        <v>770455.455483233</v>
      </c>
    </row>
    <row r="9" customFormat="false" ht="15" hidden="false" customHeight="true" outlineLevel="0" collapsed="false">
      <c r="A9" s="46" t="s">
        <v>181</v>
      </c>
      <c r="B9" s="65" t="n">
        <f aca="false">'Historical Financials'!B$8</f>
        <v>560</v>
      </c>
      <c r="C9" s="65" t="n">
        <f aca="false">'Historical Financials'!C$8</f>
        <v>638.4</v>
      </c>
      <c r="D9" s="65" t="n">
        <f aca="false">'Historical Financials'!D$8</f>
        <v>719.2</v>
      </c>
      <c r="E9" s="69" t="n">
        <f aca="false">E12+(E8*'Control Panel'!$B$16)</f>
        <v>341300.2824</v>
      </c>
      <c r="F9" s="69" t="n">
        <f aca="false">F12+(F8*'Control Panel'!$B$16)</f>
        <v>429948.7214064</v>
      </c>
      <c r="G9" s="69" t="n">
        <f aca="false">G12+(G8*'Control Panel'!$B$16)</f>
        <v>510702.023011488</v>
      </c>
      <c r="H9" s="69" t="n">
        <f aca="false">H12+(H8*'Control Panel'!$B$16)</f>
        <v>586364.328951841</v>
      </c>
      <c r="I9" s="69" t="n">
        <f aca="false">I12+(I8*'Control Panel'!$B$16)</f>
        <v>649283.824757234</v>
      </c>
      <c r="J9" s="69" t="n">
        <f aca="false">J12+(J8*'Control Panel'!$B$16)</f>
        <v>698803.098123293</v>
      </c>
    </row>
    <row r="10" customFormat="false" ht="15" hidden="false" customHeight="true" outlineLevel="0" collapsed="false">
      <c r="A10" s="46" t="s">
        <v>182</v>
      </c>
      <c r="B10" s="67" t="n">
        <f aca="false">B9/B8</f>
        <v>0.56</v>
      </c>
      <c r="C10" s="67" t="n">
        <f aca="false">C9/C8</f>
        <v>0.57</v>
      </c>
      <c r="D10" s="67" t="n">
        <f aca="false">D9/D8</f>
        <v>0.00283718159619079</v>
      </c>
      <c r="E10" s="59" t="n">
        <f aca="false">E9/E8</f>
        <v>0.99</v>
      </c>
      <c r="F10" s="59" t="n">
        <f aca="false">F9/F8</f>
        <v>0.982</v>
      </c>
      <c r="G10" s="59" t="n">
        <f aca="false">G9/G8</f>
        <v>0.964</v>
      </c>
      <c r="H10" s="59" t="n">
        <f aca="false">H9/H8</f>
        <v>0.946</v>
      </c>
      <c r="I10" s="59" t="n">
        <f aca="false">I9/I8</f>
        <v>0.927</v>
      </c>
      <c r="J10" s="59" t="n">
        <f aca="false">J9/J8</f>
        <v>0.907</v>
      </c>
    </row>
    <row r="11" customFormat="false" ht="15" hidden="false" customHeight="true" outlineLevel="0" collapsed="false">
      <c r="A11" s="46" t="s">
        <v>201</v>
      </c>
      <c r="B11" s="67" t="n">
        <f aca="false">'Historical Financials'!B$11</f>
        <v>0.21</v>
      </c>
      <c r="C11" s="67" t="n">
        <f aca="false">'Historical Financials'!C$11</f>
        <v>0.225</v>
      </c>
      <c r="D11" s="67" t="n">
        <f aca="false">'Historical Financials'!D$11</f>
        <v>0.652938368620582</v>
      </c>
      <c r="E11" s="67" t="n">
        <f aca="false">INDEX('Control Panel'!B$26:B$28,MATCH('Control Panel'!$B$10,'Control Panel'!$A$26:$A$28,0))</f>
        <v>0.645</v>
      </c>
      <c r="F11" s="67" t="n">
        <f aca="false">INDEX('Control Panel'!C$26:C$28,MATCH('Control Panel'!$B$10,'Control Panel'!$A$26:$A$28,0))</f>
        <v>0.637</v>
      </c>
      <c r="G11" s="67" t="n">
        <f aca="false">INDEX('Control Panel'!D$26:D$28,MATCH('Control Panel'!$B$10,'Control Panel'!$A$26:$A$28,0))</f>
        <v>0.619</v>
      </c>
      <c r="H11" s="67" t="n">
        <f aca="false">INDEX('Control Panel'!E$26:E$28,MATCH('Control Panel'!$B$10,'Control Panel'!$A$26:$A$28,0))</f>
        <v>0.601</v>
      </c>
      <c r="I11" s="67" t="n">
        <f aca="false">INDEX('Control Panel'!F$26:F$28,MATCH('Control Panel'!$B$10,'Control Panel'!$A$26:$A$28,0))</f>
        <v>0.582</v>
      </c>
      <c r="J11" s="67" t="n">
        <f aca="false">INDEX('Control Panel'!G$26:G$28,MATCH('Control Panel'!$B$10,'Control Panel'!$A$26:$A$28,0))</f>
        <v>0.562</v>
      </c>
    </row>
    <row r="12" customFormat="false" ht="15" hidden="false" customHeight="true" outlineLevel="0" collapsed="false">
      <c r="A12" s="41" t="s">
        <v>183</v>
      </c>
      <c r="B12" s="65" t="n">
        <f aca="false">'Historical Financials'!B$10</f>
        <v>210</v>
      </c>
      <c r="C12" s="65" t="n">
        <f aca="false">'Historical Financials'!C$10</f>
        <v>252</v>
      </c>
      <c r="D12" s="65" t="n">
        <f aca="false">'Historical Financials'!D$10</f>
        <v>165514</v>
      </c>
      <c r="E12" s="47" t="n">
        <f aca="false">E8*E11</f>
        <v>222362.3052</v>
      </c>
      <c r="F12" s="47" t="n">
        <f aca="false">F8*F11</f>
        <v>278897.4903624</v>
      </c>
      <c r="G12" s="47" t="n">
        <f aca="false">G8*G11</f>
        <v>327930.033448248</v>
      </c>
      <c r="H12" s="47" t="n">
        <f aca="false">H8*H11</f>
        <v>372521.101162851</v>
      </c>
      <c r="I12" s="47" t="n">
        <f aca="false">I8*I11</f>
        <v>407640.977355674</v>
      </c>
      <c r="J12" s="47" t="n">
        <f aca="false">J8*J11</f>
        <v>432995.965981577</v>
      </c>
    </row>
    <row r="13" customFormat="false" ht="15" hidden="false" customHeight="true" outlineLevel="0" collapsed="false">
      <c r="A13" s="46" t="s">
        <v>33</v>
      </c>
      <c r="B13" s="65" t="n">
        <f aca="false">'Historical Financials'!B$12</f>
        <v>55</v>
      </c>
      <c r="C13" s="65" t="n">
        <f aca="false">'Historical Financials'!C$12</f>
        <v>61.6</v>
      </c>
      <c r="D13" s="65" t="n">
        <f aca="false">'Historical Financials'!D$12</f>
        <v>3229</v>
      </c>
      <c r="E13" s="65" t="n">
        <f aca="false">'Capex D&amp;A'!E$12</f>
        <v>5171.2164</v>
      </c>
      <c r="F13" s="65" t="n">
        <f aca="false">'Capex D&amp;A'!F$12</f>
        <v>7443.1041384</v>
      </c>
      <c r="G13" s="65" t="n">
        <f aca="false">'Capex D&amp;A'!G$12</f>
        <v>10065.703773048</v>
      </c>
      <c r="H13" s="65" t="n">
        <f aca="false">'Capex D&amp;A'!H$12</f>
        <v>13016.5443001994</v>
      </c>
      <c r="I13" s="65" t="n">
        <f aca="false">'Capex D&amp;A'!I$12</f>
        <v>15409.1091096647</v>
      </c>
      <c r="J13" s="65" t="n">
        <f aca="false">'Capex D&amp;A'!J$12</f>
        <v>16950.0200206311</v>
      </c>
    </row>
    <row r="14" customFormat="false" ht="15" hidden="false" customHeight="true" outlineLevel="0" collapsed="false">
      <c r="A14" s="46" t="s">
        <v>202</v>
      </c>
      <c r="B14" s="67" t="n">
        <f aca="false">B13/B8</f>
        <v>0.055</v>
      </c>
      <c r="C14" s="67" t="n">
        <f aca="false">C13/C8</f>
        <v>0.055</v>
      </c>
      <c r="D14" s="67" t="n">
        <f aca="false">D13/D8</f>
        <v>0.0127381248249445</v>
      </c>
      <c r="E14" s="59" t="n">
        <f aca="false">E13/E8</f>
        <v>0.015</v>
      </c>
      <c r="F14" s="59" t="n">
        <f aca="false">F13/F8</f>
        <v>0.017</v>
      </c>
      <c r="G14" s="59" t="n">
        <f aca="false">G13/G8</f>
        <v>0.019</v>
      </c>
      <c r="H14" s="59" t="n">
        <f aca="false">H13/H8</f>
        <v>0.021</v>
      </c>
      <c r="I14" s="59" t="n">
        <f aca="false">I13/I8</f>
        <v>0.022</v>
      </c>
      <c r="J14" s="59" t="n">
        <f aca="false">J13/J8</f>
        <v>0.022</v>
      </c>
    </row>
    <row r="15" customFormat="false" ht="15" hidden="false" customHeight="true" outlineLevel="0" collapsed="false">
      <c r="A15" s="41" t="s">
        <v>29</v>
      </c>
      <c r="B15" s="65" t="n">
        <f aca="false">B12-B13</f>
        <v>155</v>
      </c>
      <c r="C15" s="65" t="n">
        <f aca="false">C12-C13</f>
        <v>190.4</v>
      </c>
      <c r="D15" s="65" t="n">
        <f aca="false">D12-D13</f>
        <v>162285</v>
      </c>
      <c r="E15" s="47" t="n">
        <f aca="false">E12-E13</f>
        <v>217191.0888</v>
      </c>
      <c r="F15" s="47" t="n">
        <f aca="false">F12-F13</f>
        <v>271454.386224</v>
      </c>
      <c r="G15" s="47" t="n">
        <f aca="false">G12-G13</f>
        <v>317864.3296752</v>
      </c>
      <c r="H15" s="47" t="n">
        <f aca="false">H12-H13</f>
        <v>359504.556862651</v>
      </c>
      <c r="I15" s="47" t="n">
        <f aca="false">I12-I13</f>
        <v>392231.86824601</v>
      </c>
      <c r="J15" s="47" t="n">
        <f aca="false">J12-J13</f>
        <v>416045.945960946</v>
      </c>
    </row>
    <row r="16" customFormat="false" ht="15" hidden="false" customHeight="true" outlineLevel="0" collapsed="false">
      <c r="A16" s="46" t="s">
        <v>28</v>
      </c>
      <c r="B16" s="67" t="n">
        <f aca="false">B15/B8</f>
        <v>0.155</v>
      </c>
      <c r="C16" s="67" t="n">
        <f aca="false">C15/C8</f>
        <v>0.17</v>
      </c>
      <c r="D16" s="67" t="n">
        <f aca="false">D15/D8</f>
        <v>0.640200243795638</v>
      </c>
      <c r="E16" s="59" t="n">
        <f aca="false">E15/E8</f>
        <v>0.63</v>
      </c>
      <c r="F16" s="59" t="n">
        <f aca="false">F15/F8</f>
        <v>0.62</v>
      </c>
      <c r="G16" s="59" t="n">
        <f aca="false">G15/G8</f>
        <v>0.6</v>
      </c>
      <c r="H16" s="59" t="n">
        <f aca="false">H15/H8</f>
        <v>0.58</v>
      </c>
      <c r="I16" s="59" t="n">
        <f aca="false">I15/I8</f>
        <v>0.56</v>
      </c>
      <c r="J16" s="59" t="n">
        <f aca="false">J15/J8</f>
        <v>0.54</v>
      </c>
    </row>
    <row r="17" customFormat="false" ht="23.25" hidden="false" customHeight="true" outlineLevel="0" collapsed="false">
      <c r="A17" s="46" t="s">
        <v>203</v>
      </c>
      <c r="B17" s="71" t="s">
        <v>178</v>
      </c>
      <c r="C17" s="67" t="n">
        <f aca="false">C16-B16</f>
        <v>0.015</v>
      </c>
      <c r="D17" s="67" t="n">
        <f aca="false">D16-C16</f>
        <v>0.470200243795638</v>
      </c>
      <c r="E17" s="59" t="n">
        <f aca="false">E16-D16</f>
        <v>-0.0102002437956377</v>
      </c>
      <c r="F17" s="59" t="n">
        <f aca="false">F16-E16</f>
        <v>-0.01</v>
      </c>
      <c r="G17" s="59" t="n">
        <f aca="false">G16-F16</f>
        <v>-0.02</v>
      </c>
      <c r="H17" s="59" t="n">
        <f aca="false">H16-G16</f>
        <v>-0.02</v>
      </c>
      <c r="I17" s="59" t="n">
        <f aca="false">I16-H16</f>
        <v>-0.02</v>
      </c>
      <c r="J17" s="59" t="n">
        <f aca="false">J16-I16</f>
        <v>-0.0199999999999999</v>
      </c>
    </row>
    <row r="18" customFormat="false" ht="15" hidden="false" customHeight="true" outlineLevel="0" collapsed="false">
      <c r="A18" s="41" t="s">
        <v>204</v>
      </c>
      <c r="B18" s="65" t="n">
        <f aca="false">'Historical Financials'!B$15</f>
        <v>34.1</v>
      </c>
      <c r="C18" s="65" t="n">
        <f aca="false">'Historical Financials'!C$15</f>
        <v>43.8</v>
      </c>
      <c r="D18" s="65" t="n">
        <f aca="false">'Historical Financials'!D$15</f>
        <v>26000</v>
      </c>
      <c r="E18" s="72" t="n">
        <f aca="false">'Tax Schedule'!E$12</f>
        <v>36922.485096</v>
      </c>
      <c r="F18" s="72" t="n">
        <f aca="false">'Tax Schedule'!F$12</f>
        <v>46147.24565808</v>
      </c>
      <c r="G18" s="72" t="n">
        <f aca="false">'Tax Schedule'!G$12</f>
        <v>54036.936044784</v>
      </c>
      <c r="H18" s="72" t="n">
        <f aca="false">'Tax Schedule'!H$12</f>
        <v>61115.7746666507</v>
      </c>
      <c r="I18" s="72" t="n">
        <f aca="false">'Tax Schedule'!I$12</f>
        <v>66679.4176018216</v>
      </c>
      <c r="J18" s="72" t="n">
        <f aca="false">'Tax Schedule'!J$12</f>
        <v>70727.8108133608</v>
      </c>
    </row>
  </sheetData>
  <mergeCells count="2">
    <mergeCell ref="A1:J1"/>
    <mergeCell ref="A7:J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J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8" width="32"/>
    <col collapsed="false" customWidth="true" hidden="false" outlineLevel="0" max="10" min="2" style="38" width="13"/>
  </cols>
  <sheetData>
    <row r="1" customFormat="false" ht="24" hidden="false" customHeight="true" outlineLevel="0" collapsed="false">
      <c r="A1" s="39" t="s">
        <v>74</v>
      </c>
      <c r="B1" s="39"/>
      <c r="C1" s="39"/>
      <c r="D1" s="39"/>
      <c r="E1" s="39"/>
      <c r="F1" s="39"/>
      <c r="G1" s="39"/>
      <c r="H1" s="39"/>
      <c r="I1" s="39"/>
      <c r="J1" s="39"/>
    </row>
    <row r="5" customFormat="false" ht="15" hidden="false" customHeight="true" outlineLevel="0" collapsed="false">
      <c r="A5" s="63" t="s">
        <v>168</v>
      </c>
      <c r="B5" s="64" t="s">
        <v>169</v>
      </c>
      <c r="C5" s="64" t="s">
        <v>170</v>
      </c>
      <c r="D5" s="64" t="s">
        <v>189</v>
      </c>
      <c r="E5" s="64" t="s">
        <v>172</v>
      </c>
      <c r="F5" s="64" t="s">
        <v>173</v>
      </c>
      <c r="G5" s="64" t="s">
        <v>133</v>
      </c>
      <c r="H5" s="64" t="s">
        <v>134</v>
      </c>
      <c r="I5" s="64" t="s">
        <v>135</v>
      </c>
      <c r="J5" s="64" t="s">
        <v>136</v>
      </c>
    </row>
    <row r="7" customFormat="false" ht="15" hidden="false" customHeight="true" outlineLevel="0" collapsed="false">
      <c r="A7" s="40" t="s">
        <v>205</v>
      </c>
      <c r="B7" s="40"/>
      <c r="C7" s="40"/>
      <c r="D7" s="40"/>
      <c r="E7" s="40"/>
      <c r="F7" s="40"/>
      <c r="G7" s="40"/>
      <c r="H7" s="40"/>
      <c r="I7" s="40"/>
      <c r="J7" s="40"/>
    </row>
    <row r="8" customFormat="false" ht="15" hidden="false" customHeight="true" outlineLevel="0" collapsed="false">
      <c r="A8" s="41" t="s">
        <v>27</v>
      </c>
      <c r="B8" s="65" t="n">
        <f aca="false">'Historical Financials'!B$6</f>
        <v>1000</v>
      </c>
      <c r="C8" s="65" t="n">
        <f aca="false">'Historical Financials'!C$6</f>
        <v>1120</v>
      </c>
      <c r="D8" s="65" t="n">
        <f aca="false">'Historical Financials'!D$6</f>
        <v>253491</v>
      </c>
      <c r="E8" s="65" t="n">
        <f aca="false">'Revenue Build'!E$14</f>
        <v>344747.76</v>
      </c>
      <c r="F8" s="65" t="n">
        <f aca="false">'Revenue Build'!F$14</f>
        <v>437829.6552</v>
      </c>
      <c r="G8" s="65" t="n">
        <f aca="false">'Revenue Build'!G$14</f>
        <v>529773.882792</v>
      </c>
      <c r="H8" s="65" t="n">
        <f aca="false">'Revenue Build'!H$14</f>
        <v>619835.44286664</v>
      </c>
      <c r="I8" s="65" t="n">
        <f aca="false">'Revenue Build'!I$14</f>
        <v>700414.050439303</v>
      </c>
      <c r="J8" s="65" t="n">
        <f aca="false">'Revenue Build'!J$14</f>
        <v>770455.455483233</v>
      </c>
    </row>
    <row r="9" customFormat="false" ht="15" hidden="false" customHeight="true" outlineLevel="0" collapsed="false">
      <c r="A9" s="46" t="s">
        <v>148</v>
      </c>
      <c r="B9" s="59" t="n">
        <f aca="false">B10/B8</f>
        <v>0.14</v>
      </c>
      <c r="C9" s="59" t="n">
        <f aca="false">C10/C8</f>
        <v>0.14</v>
      </c>
      <c r="D9" s="59" t="n">
        <f aca="false">D10/D8</f>
        <v>0.14</v>
      </c>
      <c r="E9" s="67" t="n">
        <f aca="false">'Control Panel'!B$61</f>
        <v>0.11</v>
      </c>
      <c r="F9" s="67" t="n">
        <f aca="false">'Control Panel'!C$61</f>
        <v>0.105</v>
      </c>
      <c r="G9" s="67" t="n">
        <f aca="false">'Control Panel'!D$61</f>
        <v>0.1</v>
      </c>
      <c r="H9" s="67" t="n">
        <f aca="false">'Control Panel'!E$61</f>
        <v>0.095</v>
      </c>
      <c r="I9" s="67" t="n">
        <f aca="false">'Control Panel'!F$61</f>
        <v>0.09</v>
      </c>
      <c r="J9" s="67" t="n">
        <f aca="false">'Control Panel'!G$61</f>
        <v>0.09</v>
      </c>
    </row>
    <row r="10" customFormat="false" ht="15" hidden="false" customHeight="true" outlineLevel="0" collapsed="false">
      <c r="A10" s="46" t="s">
        <v>206</v>
      </c>
      <c r="B10" s="69" t="n">
        <f aca="false">B8*0.14</f>
        <v>140</v>
      </c>
      <c r="C10" s="69" t="n">
        <f aca="false">C8*0.14</f>
        <v>156.8</v>
      </c>
      <c r="D10" s="69" t="n">
        <f aca="false">D8*0.14</f>
        <v>35488.74</v>
      </c>
      <c r="E10" s="69" t="n">
        <f aca="false">E8*E9</f>
        <v>37922.2536</v>
      </c>
      <c r="F10" s="69" t="n">
        <f aca="false">F8*F9</f>
        <v>45972.113796</v>
      </c>
      <c r="G10" s="69" t="n">
        <f aca="false">G8*G9</f>
        <v>52977.3882792</v>
      </c>
      <c r="H10" s="69" t="n">
        <f aca="false">H8*H9</f>
        <v>58884.3670723308</v>
      </c>
      <c r="I10" s="69" t="n">
        <f aca="false">I8*I9</f>
        <v>63037.2645395373</v>
      </c>
      <c r="J10" s="69" t="n">
        <f aca="false">J8*J9</f>
        <v>69340.990993491</v>
      </c>
    </row>
    <row r="11" customFormat="false" ht="15" hidden="false" customHeight="true" outlineLevel="0" collapsed="false">
      <c r="A11" s="46" t="s">
        <v>149</v>
      </c>
      <c r="B11" s="59" t="n">
        <f aca="false">B12/B8</f>
        <v>0.06</v>
      </c>
      <c r="C11" s="59" t="n">
        <f aca="false">C12/C8</f>
        <v>0.06</v>
      </c>
      <c r="D11" s="59" t="n">
        <f aca="false">D12/D8</f>
        <v>0.06</v>
      </c>
      <c r="E11" s="67" t="n">
        <f aca="false">'Control Panel'!B$62</f>
        <v>0</v>
      </c>
      <c r="F11" s="67" t="n">
        <f aca="false">'Control Panel'!C$62</f>
        <v>0</v>
      </c>
      <c r="G11" s="67" t="n">
        <f aca="false">'Control Panel'!D$62</f>
        <v>0</v>
      </c>
      <c r="H11" s="67" t="n">
        <f aca="false">'Control Panel'!E$62</f>
        <v>0</v>
      </c>
      <c r="I11" s="67" t="n">
        <f aca="false">'Control Panel'!F$62</f>
        <v>0</v>
      </c>
      <c r="J11" s="67" t="n">
        <f aca="false">'Control Panel'!G$62</f>
        <v>0</v>
      </c>
    </row>
    <row r="12" customFormat="false" ht="15" hidden="false" customHeight="true" outlineLevel="0" collapsed="false">
      <c r="A12" s="46" t="s">
        <v>207</v>
      </c>
      <c r="B12" s="69" t="n">
        <f aca="false">B8*0.06</f>
        <v>60</v>
      </c>
      <c r="C12" s="69" t="n">
        <f aca="false">C8*0.06</f>
        <v>67.2</v>
      </c>
      <c r="D12" s="69" t="n">
        <f aca="false">D8*0.06</f>
        <v>15209.46</v>
      </c>
      <c r="E12" s="69" t="n">
        <f aca="false">E8*E11</f>
        <v>0</v>
      </c>
      <c r="F12" s="69" t="n">
        <f aca="false">F8*F11</f>
        <v>0</v>
      </c>
      <c r="G12" s="69" t="n">
        <f aca="false">G8*G11</f>
        <v>0</v>
      </c>
      <c r="H12" s="69" t="n">
        <f aca="false">H8*H11</f>
        <v>0</v>
      </c>
      <c r="I12" s="69" t="n">
        <f aca="false">I8*I11</f>
        <v>0</v>
      </c>
      <c r="J12" s="69" t="n">
        <f aca="false">J8*J11</f>
        <v>0</v>
      </c>
    </row>
    <row r="13" customFormat="false" ht="15" hidden="false" customHeight="true" outlineLevel="0" collapsed="false">
      <c r="A13" s="46" t="s">
        <v>150</v>
      </c>
      <c r="B13" s="59" t="n">
        <f aca="false">B14/B8</f>
        <v>0.085</v>
      </c>
      <c r="C13" s="59" t="n">
        <f aca="false">C14/C8</f>
        <v>0.085</v>
      </c>
      <c r="D13" s="59" t="n">
        <f aca="false">D14/D8</f>
        <v>0.085</v>
      </c>
      <c r="E13" s="67" t="n">
        <f aca="false">'Control Panel'!B$63</f>
        <v>0</v>
      </c>
      <c r="F13" s="67" t="n">
        <f aca="false">'Control Panel'!C$63</f>
        <v>0</v>
      </c>
      <c r="G13" s="67" t="n">
        <f aca="false">'Control Panel'!D$63</f>
        <v>0</v>
      </c>
      <c r="H13" s="67" t="n">
        <f aca="false">'Control Panel'!E$63</f>
        <v>0</v>
      </c>
      <c r="I13" s="67" t="n">
        <f aca="false">'Control Panel'!F$63</f>
        <v>0</v>
      </c>
      <c r="J13" s="67" t="n">
        <f aca="false">'Control Panel'!G$63</f>
        <v>0</v>
      </c>
    </row>
    <row r="14" customFormat="false" ht="15" hidden="false" customHeight="true" outlineLevel="0" collapsed="false">
      <c r="A14" s="46" t="s">
        <v>208</v>
      </c>
      <c r="B14" s="69" t="n">
        <f aca="false">B8*0.085</f>
        <v>85</v>
      </c>
      <c r="C14" s="69" t="n">
        <f aca="false">C8*0.085</f>
        <v>95.2</v>
      </c>
      <c r="D14" s="69" t="n">
        <f aca="false">D8*0.085</f>
        <v>21546.735</v>
      </c>
      <c r="E14" s="69" t="n">
        <f aca="false">E8*E13</f>
        <v>0</v>
      </c>
      <c r="F14" s="69" t="n">
        <f aca="false">F8*F13</f>
        <v>0</v>
      </c>
      <c r="G14" s="69" t="n">
        <f aca="false">G8*G13</f>
        <v>0</v>
      </c>
      <c r="H14" s="69" t="n">
        <f aca="false">H8*H13</f>
        <v>0</v>
      </c>
      <c r="I14" s="69" t="n">
        <f aca="false">I8*I13</f>
        <v>0</v>
      </c>
      <c r="J14" s="69" t="n">
        <f aca="false">J8*J13</f>
        <v>0</v>
      </c>
    </row>
    <row r="15" customFormat="false" ht="15" hidden="false" customHeight="true" outlineLevel="0" collapsed="false">
      <c r="A15" s="46" t="s">
        <v>209</v>
      </c>
      <c r="B15" s="69" t="n">
        <f aca="false">B8*0</f>
        <v>0</v>
      </c>
      <c r="C15" s="69" t="n">
        <f aca="false">C8*0</f>
        <v>0</v>
      </c>
      <c r="D15" s="69" t="n">
        <f aca="false">D8*0</f>
        <v>0</v>
      </c>
      <c r="E15" s="69" t="n">
        <f aca="false">E8*('Control Panel'!B$64-'Control Panel'!B$65)</f>
        <v>0</v>
      </c>
      <c r="F15" s="69" t="n">
        <f aca="false">F8*('Control Panel'!C$64-'Control Panel'!C$65)</f>
        <v>0</v>
      </c>
      <c r="G15" s="69" t="n">
        <f aca="false">G8*('Control Panel'!D$64-'Control Panel'!D$65)</f>
        <v>0</v>
      </c>
      <c r="H15" s="69" t="n">
        <f aca="false">H8*('Control Panel'!E$64-'Control Panel'!E$65)</f>
        <v>0</v>
      </c>
      <c r="I15" s="69" t="n">
        <f aca="false">I8*('Control Panel'!F$64-'Control Panel'!F$65)</f>
        <v>0</v>
      </c>
      <c r="J15" s="69" t="n">
        <f aca="false">J8*('Control Panel'!G$64-'Control Panel'!G$65)</f>
        <v>0</v>
      </c>
    </row>
    <row r="16" customFormat="false" ht="15" hidden="false" customHeight="true" outlineLevel="0" collapsed="false">
      <c r="A16" s="41" t="s">
        <v>187</v>
      </c>
      <c r="B16" s="65" t="n">
        <f aca="false">'Historical Financials'!B$18</f>
        <v>118</v>
      </c>
      <c r="C16" s="65" t="n">
        <f aca="false">'Historical Financials'!C$18</f>
        <v>132</v>
      </c>
      <c r="D16" s="65" t="n">
        <f aca="false">'Historical Financials'!D$18</f>
        <v>27539</v>
      </c>
      <c r="E16" s="47" t="n">
        <f aca="false">E10+E12-E14+E15</f>
        <v>37922.2536</v>
      </c>
      <c r="F16" s="47" t="n">
        <f aca="false">F10+F12-F14+F15</f>
        <v>45972.113796</v>
      </c>
      <c r="G16" s="47" t="n">
        <f aca="false">G10+G12-G14+G15</f>
        <v>52977.3882792</v>
      </c>
      <c r="H16" s="47" t="n">
        <f aca="false">H10+H12-H14+H15</f>
        <v>58884.3670723308</v>
      </c>
      <c r="I16" s="47" t="n">
        <f aca="false">I10+I12-I14+I15</f>
        <v>63037.2645395373</v>
      </c>
      <c r="J16" s="47" t="n">
        <f aca="false">J10+J12-J14+J15</f>
        <v>69340.990993491</v>
      </c>
    </row>
    <row r="17" customFormat="false" ht="15" hidden="false" customHeight="true" outlineLevel="0" collapsed="false">
      <c r="A17" s="41" t="s">
        <v>38</v>
      </c>
      <c r="B17" s="69" t="n">
        <v>0</v>
      </c>
      <c r="C17" s="69" t="n">
        <f aca="false">C16-B16</f>
        <v>14</v>
      </c>
      <c r="D17" s="69" t="n">
        <f aca="false">D16-C16</f>
        <v>27407</v>
      </c>
      <c r="E17" s="47" t="n">
        <f aca="false">E16-D16</f>
        <v>10383.2536</v>
      </c>
      <c r="F17" s="47" t="n">
        <f aca="false">F16-E16</f>
        <v>8049.86019599999</v>
      </c>
      <c r="G17" s="47" t="n">
        <f aca="false">G16-F16</f>
        <v>7005.2744832</v>
      </c>
      <c r="H17" s="47" t="n">
        <f aca="false">H16-G16</f>
        <v>5906.9787931308</v>
      </c>
      <c r="I17" s="47" t="n">
        <f aca="false">I16-H16</f>
        <v>4152.89746720648</v>
      </c>
      <c r="J17" s="47" t="n">
        <f aca="false">J16-I16</f>
        <v>6303.72645395374</v>
      </c>
    </row>
    <row r="18" customFormat="false" ht="15" hidden="false" customHeight="true" outlineLevel="0" collapsed="false">
      <c r="A18" s="46" t="s">
        <v>210</v>
      </c>
      <c r="B18" s="59" t="n">
        <f aca="false">B16/B8</f>
        <v>0.118</v>
      </c>
      <c r="C18" s="59" t="n">
        <f aca="false">C16/C8</f>
        <v>0.117857142857143</v>
      </c>
      <c r="D18" s="59" t="n">
        <f aca="false">D16/D8</f>
        <v>0.108638965485954</v>
      </c>
      <c r="E18" s="59" t="n">
        <f aca="false">E16/E8</f>
        <v>0.11</v>
      </c>
      <c r="F18" s="59" t="n">
        <f aca="false">F16/F8</f>
        <v>0.105</v>
      </c>
      <c r="G18" s="59" t="n">
        <f aca="false">G16/G8</f>
        <v>0.1</v>
      </c>
      <c r="H18" s="59" t="n">
        <f aca="false">H16/H8</f>
        <v>0.095</v>
      </c>
      <c r="I18" s="59" t="n">
        <f aca="false">I16/I8</f>
        <v>0.09</v>
      </c>
      <c r="J18" s="59" t="n">
        <f aca="false">J16/J8</f>
        <v>0.09</v>
      </c>
    </row>
    <row r="19" customFormat="false" ht="15" hidden="false" customHeight="true" outlineLevel="0" collapsed="false">
      <c r="A19" s="41" t="s">
        <v>211</v>
      </c>
      <c r="B19" s="69" t="n">
        <f aca="false">-B17</f>
        <v>-0</v>
      </c>
      <c r="C19" s="69" t="n">
        <f aca="false">-C17</f>
        <v>-14</v>
      </c>
      <c r="D19" s="69" t="n">
        <f aca="false">-D17</f>
        <v>-27407</v>
      </c>
      <c r="E19" s="47" t="n">
        <f aca="false">-E17</f>
        <v>-10383.2536</v>
      </c>
      <c r="F19" s="47" t="n">
        <f aca="false">-F17</f>
        <v>-8049.86019599999</v>
      </c>
      <c r="G19" s="47" t="n">
        <f aca="false">-G17</f>
        <v>-7005.2744832</v>
      </c>
      <c r="H19" s="47" t="n">
        <f aca="false">-H17</f>
        <v>-5906.9787931308</v>
      </c>
      <c r="I19" s="47" t="n">
        <f aca="false">-I17</f>
        <v>-4152.89746720648</v>
      </c>
      <c r="J19" s="47" t="n">
        <f aca="false">-J17</f>
        <v>-6303.72645395374</v>
      </c>
    </row>
  </sheetData>
  <mergeCells count="2">
    <mergeCell ref="A1:J1"/>
    <mergeCell ref="A7:J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J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8" width="30"/>
    <col collapsed="false" customWidth="true" hidden="false" outlineLevel="0" max="10" min="2" style="38" width="13"/>
  </cols>
  <sheetData>
    <row r="1" customFormat="false" ht="24" hidden="false" customHeight="true" outlineLevel="0" collapsed="false">
      <c r="A1" s="39" t="s">
        <v>212</v>
      </c>
      <c r="B1" s="39"/>
      <c r="C1" s="39"/>
      <c r="D1" s="39"/>
      <c r="E1" s="39"/>
      <c r="F1" s="39"/>
      <c r="G1" s="39"/>
      <c r="H1" s="39"/>
      <c r="I1" s="39"/>
      <c r="J1" s="39"/>
    </row>
    <row r="5" customFormat="false" ht="15" hidden="false" customHeight="true" outlineLevel="0" collapsed="false">
      <c r="A5" s="63" t="s">
        <v>168</v>
      </c>
      <c r="B5" s="64" t="s">
        <v>169</v>
      </c>
      <c r="C5" s="64" t="s">
        <v>170</v>
      </c>
      <c r="D5" s="64" t="s">
        <v>189</v>
      </c>
      <c r="E5" s="64" t="s">
        <v>172</v>
      </c>
      <c r="F5" s="64" t="s">
        <v>173</v>
      </c>
      <c r="G5" s="64" t="s">
        <v>133</v>
      </c>
      <c r="H5" s="64" t="s">
        <v>134</v>
      </c>
      <c r="I5" s="64" t="s">
        <v>135</v>
      </c>
      <c r="J5" s="64" t="s">
        <v>136</v>
      </c>
    </row>
    <row r="7" customFormat="false" ht="15" hidden="false" customHeight="true" outlineLevel="0" collapsed="false">
      <c r="A7" s="40" t="s">
        <v>213</v>
      </c>
      <c r="B7" s="40"/>
      <c r="C7" s="40"/>
      <c r="D7" s="40"/>
      <c r="E7" s="40"/>
      <c r="F7" s="40"/>
      <c r="G7" s="40"/>
      <c r="H7" s="40"/>
      <c r="I7" s="40"/>
      <c r="J7" s="40"/>
    </row>
    <row r="8" customFormat="false" ht="15" hidden="false" customHeight="true" outlineLevel="0" collapsed="false">
      <c r="A8" s="41" t="s">
        <v>27</v>
      </c>
      <c r="B8" s="65" t="n">
        <f aca="false">'Historical Financials'!B$6</f>
        <v>1000</v>
      </c>
      <c r="C8" s="65" t="n">
        <f aca="false">'Historical Financials'!C$6</f>
        <v>1120</v>
      </c>
      <c r="D8" s="65" t="n">
        <f aca="false">'Historical Financials'!D$6</f>
        <v>253491</v>
      </c>
      <c r="E8" s="65" t="n">
        <f aca="false">'Revenue Build'!E$14</f>
        <v>344747.76</v>
      </c>
      <c r="F8" s="65" t="n">
        <f aca="false">'Revenue Build'!F$14</f>
        <v>437829.6552</v>
      </c>
      <c r="G8" s="65" t="n">
        <f aca="false">'Revenue Build'!G$14</f>
        <v>529773.882792</v>
      </c>
      <c r="H8" s="65" t="n">
        <f aca="false">'Revenue Build'!H$14</f>
        <v>619835.44286664</v>
      </c>
      <c r="I8" s="65" t="n">
        <f aca="false">'Revenue Build'!I$14</f>
        <v>700414.050439303</v>
      </c>
      <c r="J8" s="65" t="n">
        <f aca="false">'Revenue Build'!J$14</f>
        <v>770455.455483233</v>
      </c>
    </row>
    <row r="9" customFormat="false" ht="15" hidden="false" customHeight="true" outlineLevel="0" collapsed="false">
      <c r="A9" s="41" t="s">
        <v>35</v>
      </c>
      <c r="B9" s="65" t="n">
        <f aca="false">'Historical Financials'!B$17</f>
        <v>78</v>
      </c>
      <c r="C9" s="65" t="n">
        <f aca="false">'Historical Financials'!C$17</f>
        <v>82</v>
      </c>
      <c r="D9" s="65" t="n">
        <f aca="false">'Historical Financials'!D$17</f>
        <v>6572</v>
      </c>
      <c r="E9" s="47" t="n">
        <f aca="false">E8*E10</f>
        <v>10342.4328</v>
      </c>
      <c r="F9" s="47" t="n">
        <f aca="false">F8*F10</f>
        <v>14010.5489664</v>
      </c>
      <c r="G9" s="47" t="n">
        <f aca="false">G8*G10</f>
        <v>18012.312014928</v>
      </c>
      <c r="H9" s="47" t="n">
        <f aca="false">H8*H10</f>
        <v>21694.2405003324</v>
      </c>
      <c r="I9" s="47" t="n">
        <f aca="false">I8*I10</f>
        <v>24514.4917653756</v>
      </c>
      <c r="J9" s="47" t="n">
        <f aca="false">J8*J10</f>
        <v>26965.9409419132</v>
      </c>
    </row>
    <row r="10" customFormat="false" ht="15" hidden="false" customHeight="true" outlineLevel="0" collapsed="false">
      <c r="A10" s="46" t="s">
        <v>214</v>
      </c>
      <c r="B10" s="59" t="n">
        <f aca="false">B9/B8</f>
        <v>0.078</v>
      </c>
      <c r="C10" s="59" t="n">
        <f aca="false">C9/C8</f>
        <v>0.0732142857142857</v>
      </c>
      <c r="D10" s="59" t="n">
        <f aca="false">D9/D8</f>
        <v>0.0259259697582952</v>
      </c>
      <c r="E10" s="67" t="n">
        <f aca="false">INDEX('Control Panel'!B$41:B$43,MATCH('Control Panel'!$B$10,'Control Panel'!$A$41:$A$43,0))</f>
        <v>0.03</v>
      </c>
      <c r="F10" s="67" t="n">
        <f aca="false">INDEX('Control Panel'!C$41:C$43,MATCH('Control Panel'!$B$10,'Control Panel'!$A$41:$A$43,0))</f>
        <v>0.032</v>
      </c>
      <c r="G10" s="67" t="n">
        <f aca="false">INDEX('Control Panel'!D$41:D$43,MATCH('Control Panel'!$B$10,'Control Panel'!$A$41:$A$43,0))</f>
        <v>0.034</v>
      </c>
      <c r="H10" s="67" t="n">
        <f aca="false">INDEX('Control Panel'!E$41:E$43,MATCH('Control Panel'!$B$10,'Control Panel'!$A$41:$A$43,0))</f>
        <v>0.035</v>
      </c>
      <c r="I10" s="67" t="n">
        <f aca="false">INDEX('Control Panel'!F$41:F$43,MATCH('Control Panel'!$B$10,'Control Panel'!$A$41:$A$43,0))</f>
        <v>0.035</v>
      </c>
      <c r="J10" s="67" t="n">
        <f aca="false">INDEX('Control Panel'!G$41:G$43,MATCH('Control Panel'!$B$10,'Control Panel'!$A$41:$A$43,0))</f>
        <v>0.035</v>
      </c>
    </row>
    <row r="11" customFormat="false" ht="15" hidden="false" customHeight="true" outlineLevel="0" collapsed="false">
      <c r="A11" s="46" t="s">
        <v>215</v>
      </c>
      <c r="B11" s="69" t="n">
        <v>397</v>
      </c>
      <c r="C11" s="69" t="n">
        <f aca="false">B13</f>
        <v>420</v>
      </c>
      <c r="D11" s="69" t="n">
        <f aca="false">C13</f>
        <v>440.4</v>
      </c>
      <c r="E11" s="69" t="n">
        <f aca="false">D13</f>
        <v>3783.4</v>
      </c>
      <c r="F11" s="69" t="n">
        <f aca="false">E13</f>
        <v>8954.6164</v>
      </c>
      <c r="G11" s="69" t="n">
        <f aca="false">F13</f>
        <v>15522.061228</v>
      </c>
      <c r="H11" s="69" t="n">
        <f aca="false">G13</f>
        <v>23468.66946988</v>
      </c>
      <c r="I11" s="69" t="n">
        <f aca="false">H13</f>
        <v>32146.365670013</v>
      </c>
      <c r="J11" s="69" t="n">
        <f aca="false">I13</f>
        <v>41251.7483257239</v>
      </c>
    </row>
    <row r="12" customFormat="false" ht="15" hidden="false" customHeight="true" outlineLevel="0" collapsed="false">
      <c r="A12" s="41" t="s">
        <v>33</v>
      </c>
      <c r="B12" s="65" t="n">
        <f aca="false">'Historical Financials'!B$12</f>
        <v>55</v>
      </c>
      <c r="C12" s="65" t="n">
        <f aca="false">'Historical Financials'!C$12</f>
        <v>61.6</v>
      </c>
      <c r="D12" s="65" t="n">
        <f aca="false">'Historical Financials'!D$12</f>
        <v>3229</v>
      </c>
      <c r="E12" s="47" t="n">
        <f aca="false">E8*E14</f>
        <v>5171.2164</v>
      </c>
      <c r="F12" s="47" t="n">
        <f aca="false">F8*F14</f>
        <v>7443.1041384</v>
      </c>
      <c r="G12" s="47" t="n">
        <f aca="false">G8*G14</f>
        <v>10065.703773048</v>
      </c>
      <c r="H12" s="47" t="n">
        <f aca="false">H8*H14</f>
        <v>13016.5443001994</v>
      </c>
      <c r="I12" s="47" t="n">
        <f aca="false">I8*I14</f>
        <v>15409.1091096647</v>
      </c>
      <c r="J12" s="47" t="n">
        <f aca="false">J8*J14</f>
        <v>16950.0200206311</v>
      </c>
    </row>
    <row r="13" customFormat="false" ht="15" hidden="false" customHeight="true" outlineLevel="0" collapsed="false">
      <c r="A13" s="41" t="s">
        <v>216</v>
      </c>
      <c r="B13" s="69" t="n">
        <f aca="false">B11+B9-B12</f>
        <v>420</v>
      </c>
      <c r="C13" s="69" t="n">
        <f aca="false">C11+C9-C12</f>
        <v>440.4</v>
      </c>
      <c r="D13" s="69" t="n">
        <f aca="false">D11+D9-D12</f>
        <v>3783.4</v>
      </c>
      <c r="E13" s="47" t="n">
        <f aca="false">E11+E9-E12</f>
        <v>8954.6164</v>
      </c>
      <c r="F13" s="47" t="n">
        <f aca="false">F11+F9-F12</f>
        <v>15522.061228</v>
      </c>
      <c r="G13" s="47" t="n">
        <f aca="false">G11+G9-G12</f>
        <v>23468.66946988</v>
      </c>
      <c r="H13" s="47" t="n">
        <f aca="false">H11+H9-H12</f>
        <v>32146.365670013</v>
      </c>
      <c r="I13" s="47" t="n">
        <f aca="false">I11+I9-I12</f>
        <v>41251.7483257239</v>
      </c>
      <c r="J13" s="47" t="n">
        <f aca="false">J11+J9-J12</f>
        <v>51267.6692470059</v>
      </c>
    </row>
    <row r="14" customFormat="false" ht="15" hidden="false" customHeight="true" outlineLevel="0" collapsed="false">
      <c r="A14" s="46" t="s">
        <v>202</v>
      </c>
      <c r="B14" s="59" t="n">
        <f aca="false">B12/B8</f>
        <v>0.055</v>
      </c>
      <c r="C14" s="59" t="n">
        <f aca="false">C12/C8</f>
        <v>0.055</v>
      </c>
      <c r="D14" s="59" t="n">
        <f aca="false">D12/D8</f>
        <v>0.0127381248249445</v>
      </c>
      <c r="E14" s="67" t="n">
        <f aca="false">INDEX('Control Panel'!B$36:B$38,MATCH('Control Panel'!$B$10,'Control Panel'!$A$36:$A$38,0))</f>
        <v>0.015</v>
      </c>
      <c r="F14" s="67" t="n">
        <f aca="false">INDEX('Control Panel'!C$36:C$38,MATCH('Control Panel'!$B$10,'Control Panel'!$A$36:$A$38,0))</f>
        <v>0.017</v>
      </c>
      <c r="G14" s="67" t="n">
        <f aca="false">INDEX('Control Panel'!D$36:D$38,MATCH('Control Panel'!$B$10,'Control Panel'!$A$36:$A$38,0))</f>
        <v>0.019</v>
      </c>
      <c r="H14" s="67" t="n">
        <f aca="false">INDEX('Control Panel'!E$36:E$38,MATCH('Control Panel'!$B$10,'Control Panel'!$A$36:$A$38,0))</f>
        <v>0.021</v>
      </c>
      <c r="I14" s="67" t="n">
        <f aca="false">INDEX('Control Panel'!F$36:F$38,MATCH('Control Panel'!$B$10,'Control Panel'!$A$36:$A$38,0))</f>
        <v>0.022</v>
      </c>
      <c r="J14" s="67" t="n">
        <f aca="false">INDEX('Control Panel'!G$36:G$38,MATCH('Control Panel'!$B$10,'Control Panel'!$A$36:$A$38,0))</f>
        <v>0.022</v>
      </c>
    </row>
    <row r="15" customFormat="false" ht="15" hidden="false" customHeight="true" outlineLevel="0" collapsed="false">
      <c r="A15" s="46" t="s">
        <v>217</v>
      </c>
      <c r="B15" s="59" t="n">
        <f aca="false">B12/B11</f>
        <v>0.138539042821159</v>
      </c>
      <c r="C15" s="59" t="n">
        <f aca="false">C12/C11</f>
        <v>0.146666666666667</v>
      </c>
      <c r="D15" s="59" t="n">
        <f aca="false">D12/D11</f>
        <v>7.33197093551317</v>
      </c>
      <c r="E15" s="59" t="n">
        <f aca="false">E12/E11</f>
        <v>1.36681725432151</v>
      </c>
      <c r="F15" s="59" t="n">
        <f aca="false">F12/F11</f>
        <v>0.831203013721504</v>
      </c>
      <c r="G15" s="59" t="n">
        <f aca="false">G12/G11</f>
        <v>0.648477262471471</v>
      </c>
      <c r="H15" s="59" t="n">
        <f aca="false">H12/H11</f>
        <v>0.554634949241799</v>
      </c>
      <c r="I15" s="59" t="n">
        <f aca="false">I12/I11</f>
        <v>0.479342183431912</v>
      </c>
      <c r="J15" s="59" t="n">
        <f aca="false">J12/J11</f>
        <v>0.410892161146571</v>
      </c>
    </row>
  </sheetData>
  <mergeCells count="2">
    <mergeCell ref="A1:J1"/>
    <mergeCell ref="A7:J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J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8" width="30"/>
    <col collapsed="false" customWidth="true" hidden="false" outlineLevel="0" max="10" min="2" style="38" width="13"/>
  </cols>
  <sheetData>
    <row r="1" customFormat="false" ht="24" hidden="false" customHeight="true" outlineLevel="0" collapsed="false">
      <c r="A1" s="39" t="s">
        <v>76</v>
      </c>
      <c r="B1" s="39"/>
      <c r="C1" s="39"/>
      <c r="D1" s="39"/>
      <c r="E1" s="39"/>
      <c r="F1" s="39"/>
      <c r="G1" s="39"/>
      <c r="H1" s="39"/>
      <c r="I1" s="39"/>
      <c r="J1" s="39"/>
    </row>
    <row r="5" customFormat="false" ht="15" hidden="false" customHeight="true" outlineLevel="0" collapsed="false">
      <c r="A5" s="63" t="s">
        <v>168</v>
      </c>
      <c r="B5" s="64" t="s">
        <v>169</v>
      </c>
      <c r="C5" s="64" t="s">
        <v>170</v>
      </c>
      <c r="D5" s="64" t="s">
        <v>189</v>
      </c>
      <c r="E5" s="64" t="s">
        <v>172</v>
      </c>
      <c r="F5" s="64" t="s">
        <v>173</v>
      </c>
      <c r="G5" s="64" t="s">
        <v>133</v>
      </c>
      <c r="H5" s="64" t="s">
        <v>134</v>
      </c>
      <c r="I5" s="64" t="s">
        <v>135</v>
      </c>
      <c r="J5" s="64" t="s">
        <v>136</v>
      </c>
    </row>
    <row r="7" customFormat="false" ht="15" hidden="false" customHeight="true" outlineLevel="0" collapsed="false">
      <c r="A7" s="40" t="s">
        <v>218</v>
      </c>
      <c r="B7" s="40"/>
      <c r="C7" s="40"/>
      <c r="D7" s="40"/>
      <c r="E7" s="40"/>
      <c r="F7" s="40"/>
      <c r="G7" s="40"/>
      <c r="H7" s="40"/>
      <c r="I7" s="40"/>
      <c r="J7" s="40"/>
    </row>
    <row r="8" customFormat="false" ht="15" hidden="false" customHeight="true" outlineLevel="0" collapsed="false">
      <c r="A8" s="41" t="s">
        <v>29</v>
      </c>
      <c r="B8" s="65" t="n">
        <f aca="false">'Historical Financials'!B$13</f>
        <v>155</v>
      </c>
      <c r="C8" s="65" t="n">
        <f aca="false">'Historical Financials'!C$13</f>
        <v>190.4</v>
      </c>
      <c r="D8" s="65" t="n">
        <f aca="false">'Historical Financials'!D$13</f>
        <v>162285</v>
      </c>
      <c r="E8" s="65" t="n">
        <f aca="false">'Margin Cost Build'!E$15</f>
        <v>217191.0888</v>
      </c>
      <c r="F8" s="65" t="n">
        <f aca="false">'Margin Cost Build'!F$15</f>
        <v>271454.386224</v>
      </c>
      <c r="G8" s="65" t="n">
        <f aca="false">'Margin Cost Build'!G$15</f>
        <v>317864.3296752</v>
      </c>
      <c r="H8" s="65" t="n">
        <f aca="false">'Margin Cost Build'!H$15</f>
        <v>359504.556862651</v>
      </c>
      <c r="I8" s="65" t="n">
        <f aca="false">'Margin Cost Build'!I$15</f>
        <v>392231.86824601</v>
      </c>
      <c r="J8" s="65" t="n">
        <f aca="false">'Margin Cost Build'!J$15</f>
        <v>416045.945960946</v>
      </c>
    </row>
    <row r="9" customFormat="false" ht="15" hidden="false" customHeight="true" outlineLevel="0" collapsed="false">
      <c r="A9" s="46" t="s">
        <v>219</v>
      </c>
      <c r="B9" s="59" t="n">
        <f aca="false">'Historical Financials'!B$15/B8</f>
        <v>0.22</v>
      </c>
      <c r="C9" s="59" t="n">
        <f aca="false">'Historical Financials'!C$15/C8</f>
        <v>0.230042016806723</v>
      </c>
      <c r="D9" s="59" t="n">
        <f aca="false">'Historical Financials'!D$15/D8</f>
        <v>0.160211972763965</v>
      </c>
      <c r="E9" s="67" t="n">
        <f aca="false">INDEX('Control Panel'!B$51:B$53,MATCH('Control Panel'!$B$10,'Control Panel'!$A$51:$A$53,0))</f>
        <v>0.17</v>
      </c>
      <c r="F9" s="67" t="n">
        <f aca="false">INDEX('Control Panel'!C$51:C$53,MATCH('Control Panel'!$B$10,'Control Panel'!$A$51:$A$53,0))</f>
        <v>0.17</v>
      </c>
      <c r="G9" s="67" t="n">
        <f aca="false">INDEX('Control Panel'!D$51:D$53,MATCH('Control Panel'!$B$10,'Control Panel'!$A$51:$A$53,0))</f>
        <v>0.17</v>
      </c>
      <c r="H9" s="67" t="n">
        <f aca="false">INDEX('Control Panel'!E$51:E$53,MATCH('Control Panel'!$B$10,'Control Panel'!$A$51:$A$53,0))</f>
        <v>0.17</v>
      </c>
      <c r="I9" s="67" t="n">
        <f aca="false">INDEX('Control Panel'!F$51:F$53,MATCH('Control Panel'!$B$10,'Control Panel'!$A$51:$A$53,0))</f>
        <v>0.17</v>
      </c>
      <c r="J9" s="67" t="n">
        <f aca="false">INDEX('Control Panel'!G$51:G$53,MATCH('Control Panel'!$B$10,'Control Panel'!$A$51:$A$53,0))</f>
        <v>0.17</v>
      </c>
    </row>
    <row r="10" customFormat="false" ht="15" hidden="false" customHeight="true" outlineLevel="0" collapsed="false">
      <c r="A10" s="46" t="s">
        <v>220</v>
      </c>
      <c r="B10" s="59" t="n">
        <f aca="false">B9</f>
        <v>0.22</v>
      </c>
      <c r="C10" s="59" t="n">
        <f aca="false">C9</f>
        <v>0.230042016806723</v>
      </c>
      <c r="D10" s="59" t="n">
        <f aca="false">D9</f>
        <v>0.160211972763965</v>
      </c>
      <c r="E10" s="67" t="n">
        <f aca="false">INDEX('Control Panel'!B$56:B$58,MATCH('Control Panel'!$B$10,'Control Panel'!$A$56:$A$58,0))</f>
        <v>0.17</v>
      </c>
      <c r="F10" s="67" t="n">
        <f aca="false">INDEX('Control Panel'!C$56:C$58,MATCH('Control Panel'!$B$10,'Control Panel'!$A$56:$A$58,0))</f>
        <v>0.17</v>
      </c>
      <c r="G10" s="67" t="n">
        <f aca="false">INDEX('Control Panel'!D$56:D$58,MATCH('Control Panel'!$B$10,'Control Panel'!$A$56:$A$58,0))</f>
        <v>0.17</v>
      </c>
      <c r="H10" s="67" t="n">
        <f aca="false">INDEX('Control Panel'!E$56:E$58,MATCH('Control Panel'!$B$10,'Control Panel'!$A$56:$A$58,0))</f>
        <v>0.17</v>
      </c>
      <c r="I10" s="67" t="n">
        <f aca="false">INDEX('Control Panel'!F$56:F$58,MATCH('Control Panel'!$B$10,'Control Panel'!$A$56:$A$58,0))</f>
        <v>0.17</v>
      </c>
      <c r="J10" s="67" t="n">
        <f aca="false">INDEX('Control Panel'!G$56:G$58,MATCH('Control Panel'!$B$10,'Control Panel'!$A$56:$A$58,0))</f>
        <v>0.17</v>
      </c>
    </row>
    <row r="11" customFormat="false" ht="15" hidden="false" customHeight="true" outlineLevel="0" collapsed="false">
      <c r="A11" s="46" t="s">
        <v>221</v>
      </c>
      <c r="B11" s="61" t="n">
        <v>0</v>
      </c>
      <c r="C11" s="61" t="n">
        <v>0</v>
      </c>
      <c r="D11" s="61" t="n">
        <v>0</v>
      </c>
      <c r="E11" s="61" t="n">
        <v>0</v>
      </c>
      <c r="F11" s="61" t="n">
        <v>0</v>
      </c>
      <c r="G11" s="61" t="n">
        <v>0</v>
      </c>
      <c r="H11" s="61" t="n">
        <v>0</v>
      </c>
      <c r="I11" s="61" t="n">
        <v>0</v>
      </c>
      <c r="J11" s="61" t="n">
        <v>0</v>
      </c>
    </row>
    <row r="12" customFormat="false" ht="15" hidden="false" customHeight="true" outlineLevel="0" collapsed="false">
      <c r="A12" s="41" t="s">
        <v>204</v>
      </c>
      <c r="B12" s="65" t="n">
        <f aca="false">'Historical Financials'!B$15</f>
        <v>34.1</v>
      </c>
      <c r="C12" s="65" t="n">
        <f aca="false">'Historical Financials'!C$15</f>
        <v>43.8</v>
      </c>
      <c r="D12" s="65" t="n">
        <f aca="false">'Historical Financials'!D$15</f>
        <v>26000</v>
      </c>
      <c r="E12" s="47" t="n">
        <f aca="false">MAX(0,E8*E10-E11)</f>
        <v>36922.485096</v>
      </c>
      <c r="F12" s="47" t="n">
        <f aca="false">MAX(0,F8*F10-F11)</f>
        <v>46147.24565808</v>
      </c>
      <c r="G12" s="47" t="n">
        <f aca="false">MAX(0,G8*G10-G11)</f>
        <v>54036.936044784</v>
      </c>
      <c r="H12" s="47" t="n">
        <f aca="false">MAX(0,H8*H10-H11)</f>
        <v>61115.7746666507</v>
      </c>
      <c r="I12" s="47" t="n">
        <f aca="false">MAX(0,I8*I10-I11)</f>
        <v>66679.4176018216</v>
      </c>
      <c r="J12" s="47" t="n">
        <f aca="false">MAX(0,J8*J10-J11)</f>
        <v>70727.8108133608</v>
      </c>
    </row>
    <row r="13" customFormat="false" ht="15" hidden="false" customHeight="true" outlineLevel="0" collapsed="false">
      <c r="A13" s="46" t="s">
        <v>222</v>
      </c>
      <c r="B13" s="61" t="n">
        <v>0</v>
      </c>
      <c r="C13" s="61" t="n">
        <v>0</v>
      </c>
      <c r="D13" s="61" t="n">
        <v>0</v>
      </c>
      <c r="E13" s="47" t="n">
        <f aca="false">E8*E9-E12</f>
        <v>0</v>
      </c>
      <c r="F13" s="47" t="n">
        <f aca="false">F8*F9-F12</f>
        <v>0</v>
      </c>
      <c r="G13" s="47" t="n">
        <f aca="false">G8*G9-G12</f>
        <v>0</v>
      </c>
      <c r="H13" s="47" t="n">
        <f aca="false">H8*H9-H12</f>
        <v>0</v>
      </c>
      <c r="I13" s="47" t="n">
        <f aca="false">I8*I9-I12</f>
        <v>0</v>
      </c>
      <c r="J13" s="47" t="n">
        <f aca="false">J8*J9-J12</f>
        <v>0</v>
      </c>
    </row>
    <row r="14" customFormat="false" ht="57" hidden="false" customHeight="true" outlineLevel="0" collapsed="false">
      <c r="A14" s="73" t="s">
        <v>223</v>
      </c>
      <c r="B14" s="43" t="s">
        <v>224</v>
      </c>
      <c r="C14" s="43" t="s">
        <v>224</v>
      </c>
      <c r="D14" s="43" t="s">
        <v>224</v>
      </c>
      <c r="E14" s="43" t="s">
        <v>225</v>
      </c>
      <c r="F14" s="43" t="s">
        <v>225</v>
      </c>
      <c r="G14" s="43" t="s">
        <v>225</v>
      </c>
      <c r="H14" s="43" t="s">
        <v>225</v>
      </c>
      <c r="I14" s="43" t="s">
        <v>225</v>
      </c>
      <c r="J14" s="43" t="s">
        <v>225</v>
      </c>
    </row>
  </sheetData>
  <mergeCells count="2">
    <mergeCell ref="A1:J1"/>
    <mergeCell ref="A7:J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J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8" width="30"/>
    <col collapsed="false" customWidth="true" hidden="false" outlineLevel="0" max="10" min="2" style="38" width="13"/>
  </cols>
  <sheetData>
    <row r="1" customFormat="false" ht="24" hidden="false" customHeight="true" outlineLevel="0" collapsed="false">
      <c r="A1" s="39" t="s">
        <v>226</v>
      </c>
      <c r="B1" s="39"/>
      <c r="C1" s="39"/>
      <c r="D1" s="39"/>
      <c r="E1" s="39"/>
      <c r="F1" s="39"/>
      <c r="G1" s="39"/>
      <c r="H1" s="39"/>
      <c r="I1" s="39"/>
      <c r="J1" s="39"/>
    </row>
    <row r="5" customFormat="false" ht="15" hidden="false" customHeight="true" outlineLevel="0" collapsed="false">
      <c r="A5" s="63" t="s">
        <v>168</v>
      </c>
      <c r="B5" s="64" t="s">
        <v>169</v>
      </c>
      <c r="C5" s="64" t="s">
        <v>170</v>
      </c>
      <c r="D5" s="64" t="s">
        <v>189</v>
      </c>
      <c r="E5" s="64" t="s">
        <v>172</v>
      </c>
      <c r="F5" s="64" t="s">
        <v>173</v>
      </c>
      <c r="G5" s="64" t="s">
        <v>133</v>
      </c>
      <c r="H5" s="64" t="s">
        <v>134</v>
      </c>
      <c r="I5" s="64" t="s">
        <v>135</v>
      </c>
      <c r="J5" s="64" t="s">
        <v>136</v>
      </c>
    </row>
    <row r="7" customFormat="false" ht="15" hidden="false" customHeight="true" outlineLevel="0" collapsed="false">
      <c r="A7" s="40" t="s">
        <v>227</v>
      </c>
      <c r="B7" s="40"/>
      <c r="C7" s="40"/>
      <c r="D7" s="40"/>
      <c r="E7" s="40"/>
      <c r="F7" s="40"/>
      <c r="G7" s="40"/>
      <c r="H7" s="40"/>
      <c r="I7" s="40"/>
      <c r="J7" s="40"/>
    </row>
    <row r="8" customFormat="false" ht="15" hidden="false" customHeight="true" outlineLevel="0" collapsed="false">
      <c r="A8" s="46" t="s">
        <v>29</v>
      </c>
      <c r="B8" s="65" t="n">
        <f aca="false">'Historical Financials'!B$13</f>
        <v>155</v>
      </c>
      <c r="C8" s="65" t="n">
        <f aca="false">'Historical Financials'!C$13</f>
        <v>190.4</v>
      </c>
      <c r="D8" s="65" t="n">
        <f aca="false">'Historical Financials'!D$13</f>
        <v>162285</v>
      </c>
      <c r="E8" s="65" t="n">
        <f aca="false">'Margin Cost Build'!E$15</f>
        <v>217191.0888</v>
      </c>
      <c r="F8" s="65" t="n">
        <f aca="false">'Margin Cost Build'!F$15</f>
        <v>271454.386224</v>
      </c>
      <c r="G8" s="65" t="n">
        <f aca="false">'Margin Cost Build'!G$15</f>
        <v>317864.3296752</v>
      </c>
      <c r="H8" s="65" t="n">
        <f aca="false">'Margin Cost Build'!H$15</f>
        <v>359504.556862651</v>
      </c>
      <c r="I8" s="65" t="n">
        <f aca="false">'Margin Cost Build'!I$15</f>
        <v>392231.86824601</v>
      </c>
      <c r="J8" s="65" t="n">
        <f aca="false">'Margin Cost Build'!J$15</f>
        <v>416045.945960946</v>
      </c>
    </row>
    <row r="9" customFormat="false" ht="15" hidden="false" customHeight="true" outlineLevel="0" collapsed="false">
      <c r="A9" s="46" t="s">
        <v>228</v>
      </c>
      <c r="B9" s="65" t="n">
        <f aca="false">'Historical Financials'!B$15</f>
        <v>34.1</v>
      </c>
      <c r="C9" s="65" t="n">
        <f aca="false">'Historical Financials'!C$15</f>
        <v>43.8</v>
      </c>
      <c r="D9" s="65" t="n">
        <f aca="false">'Historical Financials'!D$15</f>
        <v>26000</v>
      </c>
      <c r="E9" s="65" t="n">
        <f aca="false">'Tax Schedule'!E$12</f>
        <v>36922.485096</v>
      </c>
      <c r="F9" s="65" t="n">
        <f aca="false">'Tax Schedule'!F$12</f>
        <v>46147.24565808</v>
      </c>
      <c r="G9" s="65" t="n">
        <f aca="false">'Tax Schedule'!G$12</f>
        <v>54036.936044784</v>
      </c>
      <c r="H9" s="65" t="n">
        <f aca="false">'Tax Schedule'!H$12</f>
        <v>61115.7746666507</v>
      </c>
      <c r="I9" s="65" t="n">
        <f aca="false">'Tax Schedule'!I$12</f>
        <v>66679.4176018216</v>
      </c>
      <c r="J9" s="65" t="n">
        <f aca="false">'Tax Schedule'!J$12</f>
        <v>70727.8108133608</v>
      </c>
    </row>
    <row r="10" customFormat="false" ht="15" hidden="false" customHeight="true" outlineLevel="0" collapsed="false">
      <c r="A10" s="41" t="s">
        <v>31</v>
      </c>
      <c r="B10" s="69" t="n">
        <f aca="false">B8-B9</f>
        <v>120.9</v>
      </c>
      <c r="C10" s="69" t="n">
        <f aca="false">C8-C9</f>
        <v>146.6</v>
      </c>
      <c r="D10" s="69" t="n">
        <f aca="false">D8-D9</f>
        <v>136285</v>
      </c>
      <c r="E10" s="69" t="n">
        <f aca="false">E8-E9</f>
        <v>180268.603704</v>
      </c>
      <c r="F10" s="69" t="n">
        <f aca="false">F8-F9</f>
        <v>225307.14056592</v>
      </c>
      <c r="G10" s="69" t="n">
        <f aca="false">G8-G9</f>
        <v>263827.393630416</v>
      </c>
      <c r="H10" s="69" t="n">
        <f aca="false">H8-H9</f>
        <v>298388.782196</v>
      </c>
      <c r="I10" s="69" t="n">
        <f aca="false">I8-I9</f>
        <v>325552.450644188</v>
      </c>
      <c r="J10" s="69" t="n">
        <f aca="false">J8-J9</f>
        <v>345318.135147585</v>
      </c>
    </row>
    <row r="11" customFormat="false" ht="15" hidden="false" customHeight="true" outlineLevel="0" collapsed="false">
      <c r="A11" s="46" t="s">
        <v>229</v>
      </c>
      <c r="B11" s="65" t="n">
        <f aca="false">'Historical Financials'!B$12</f>
        <v>55</v>
      </c>
      <c r="C11" s="65" t="n">
        <f aca="false">'Historical Financials'!C$12</f>
        <v>61.6</v>
      </c>
      <c r="D11" s="65" t="n">
        <f aca="false">'Historical Financials'!D$12</f>
        <v>3229</v>
      </c>
      <c r="E11" s="65" t="n">
        <f aca="false">'Capex D&amp;A'!E$12</f>
        <v>5171.2164</v>
      </c>
      <c r="F11" s="65" t="n">
        <f aca="false">'Capex D&amp;A'!F$12</f>
        <v>7443.1041384</v>
      </c>
      <c r="G11" s="65" t="n">
        <f aca="false">'Capex D&amp;A'!G$12</f>
        <v>10065.703773048</v>
      </c>
      <c r="H11" s="65" t="n">
        <f aca="false">'Capex D&amp;A'!H$12</f>
        <v>13016.5443001994</v>
      </c>
      <c r="I11" s="65" t="n">
        <f aca="false">'Capex D&amp;A'!I$12</f>
        <v>15409.1091096647</v>
      </c>
      <c r="J11" s="65" t="n">
        <f aca="false">'Capex D&amp;A'!J$12</f>
        <v>16950.0200206311</v>
      </c>
    </row>
    <row r="12" customFormat="false" ht="15" hidden="false" customHeight="true" outlineLevel="0" collapsed="false">
      <c r="A12" s="46" t="s">
        <v>230</v>
      </c>
      <c r="B12" s="65" t="n">
        <f aca="false">'Historical Financials'!B$17</f>
        <v>78</v>
      </c>
      <c r="C12" s="65" t="n">
        <f aca="false">'Historical Financials'!C$17</f>
        <v>82</v>
      </c>
      <c r="D12" s="65" t="n">
        <f aca="false">'Historical Financials'!D$17</f>
        <v>6572</v>
      </c>
      <c r="E12" s="65" t="n">
        <f aca="false">'Capex D&amp;A'!E$9</f>
        <v>10342.4328</v>
      </c>
      <c r="F12" s="65" t="n">
        <f aca="false">'Capex D&amp;A'!F$9</f>
        <v>14010.5489664</v>
      </c>
      <c r="G12" s="65" t="n">
        <f aca="false">'Capex D&amp;A'!G$9</f>
        <v>18012.312014928</v>
      </c>
      <c r="H12" s="65" t="n">
        <f aca="false">'Capex D&amp;A'!H$9</f>
        <v>21694.2405003324</v>
      </c>
      <c r="I12" s="65" t="n">
        <f aca="false">'Capex D&amp;A'!I$9</f>
        <v>24514.4917653756</v>
      </c>
      <c r="J12" s="65" t="n">
        <f aca="false">'Capex D&amp;A'!J$9</f>
        <v>26965.9409419132</v>
      </c>
    </row>
    <row r="13" customFormat="false" ht="15" hidden="false" customHeight="true" outlineLevel="0" collapsed="false">
      <c r="A13" s="46" t="s">
        <v>231</v>
      </c>
      <c r="B13" s="65" t="n">
        <v>0</v>
      </c>
      <c r="C13" s="65" t="n">
        <f aca="false">'Historical Financials'!C$18-'Historical Financials'!B$18</f>
        <v>14</v>
      </c>
      <c r="D13" s="65" t="n">
        <f aca="false">'Historical Financials'!D$18-'Historical Financials'!C$18</f>
        <v>27407</v>
      </c>
      <c r="E13" s="65" t="n">
        <f aca="false">'Working Capital'!E$17</f>
        <v>10383.2536</v>
      </c>
      <c r="F13" s="65" t="n">
        <f aca="false">'Working Capital'!F$17</f>
        <v>8049.86019599999</v>
      </c>
      <c r="G13" s="65" t="n">
        <f aca="false">'Working Capital'!G$17</f>
        <v>7005.2744832</v>
      </c>
      <c r="H13" s="65" t="n">
        <f aca="false">'Working Capital'!H$17</f>
        <v>5906.9787931308</v>
      </c>
      <c r="I13" s="65" t="n">
        <f aca="false">'Working Capital'!I$17</f>
        <v>4152.89746720648</v>
      </c>
      <c r="J13" s="65" t="n">
        <f aca="false">'Working Capital'!J$17</f>
        <v>6303.72645395374</v>
      </c>
    </row>
    <row r="14" customFormat="false" ht="15" hidden="false" customHeight="true" outlineLevel="0" collapsed="false">
      <c r="A14" s="41" t="s">
        <v>232</v>
      </c>
      <c r="B14" s="47" t="n">
        <f aca="false">B10+B11-B12-B13</f>
        <v>97.9</v>
      </c>
      <c r="C14" s="47" t="n">
        <f aca="false">C10+C11-C12-C13</f>
        <v>112.2</v>
      </c>
      <c r="D14" s="47" t="n">
        <f aca="false">D10+D11-D12-D13</f>
        <v>105535</v>
      </c>
      <c r="E14" s="47" t="n">
        <f aca="false">E10+E11-E12-E13</f>
        <v>164714.133704</v>
      </c>
      <c r="F14" s="47" t="n">
        <f aca="false">F10+F11-F12-F13</f>
        <v>210689.83554192</v>
      </c>
      <c r="G14" s="47" t="n">
        <f aca="false">G10+G11-G12-G13</f>
        <v>248875.510905336</v>
      </c>
      <c r="H14" s="47" t="n">
        <f aca="false">H10+H11-H12-H13</f>
        <v>283804.107202737</v>
      </c>
      <c r="I14" s="47" t="n">
        <f aca="false">I10+I11-I12-I13</f>
        <v>312294.170521271</v>
      </c>
      <c r="J14" s="47" t="n">
        <f aca="false">J10+J11-J12-J13</f>
        <v>328998.487772349</v>
      </c>
    </row>
    <row r="15" customFormat="false" ht="15" hidden="false" customHeight="true" outlineLevel="0" collapsed="false">
      <c r="A15" s="46" t="s">
        <v>40</v>
      </c>
      <c r="B15" s="74" t="s">
        <v>233</v>
      </c>
      <c r="C15" s="74" t="s">
        <v>233</v>
      </c>
      <c r="D15" s="74" t="s">
        <v>233</v>
      </c>
      <c r="E15" s="75" t="n">
        <f aca="false">IF('Control Panel'!$B$11="Yes",1-0.5,1)</f>
        <v>0.5</v>
      </c>
      <c r="F15" s="75" t="n">
        <f aca="false">IF('Control Panel'!$B$11="Yes",2-0.5,2)</f>
        <v>1.5</v>
      </c>
      <c r="G15" s="75" t="n">
        <f aca="false">IF('Control Panel'!$B$11="Yes",3-0.5,3)</f>
        <v>2.5</v>
      </c>
      <c r="H15" s="75" t="n">
        <f aca="false">IF('Control Panel'!$B$11="Yes",4-0.5,4)</f>
        <v>3.5</v>
      </c>
      <c r="I15" s="75" t="n">
        <f aca="false">IF('Control Panel'!$B$11="Yes",5-0.5,5)</f>
        <v>4.5</v>
      </c>
      <c r="J15" s="75" t="n">
        <f aca="false">IF('Control Panel'!$B$11="Yes",6-0.5,6)</f>
        <v>5.5</v>
      </c>
    </row>
    <row r="16" customFormat="false" ht="15" hidden="false" customHeight="true" outlineLevel="0" collapsed="false">
      <c r="A16" s="46" t="s">
        <v>234</v>
      </c>
      <c r="B16" s="74" t="s">
        <v>233</v>
      </c>
      <c r="C16" s="74" t="s">
        <v>233</v>
      </c>
      <c r="D16" s="74" t="s">
        <v>233</v>
      </c>
      <c r="E16" s="76" t="n">
        <f aca="false">1/(1+'Control Panel'!$B$78)^E15</f>
        <v>0.950721118553814</v>
      </c>
      <c r="F16" s="76" t="n">
        <f aca="false">1/(1+'Control Panel'!$B$78)^F15</f>
        <v>0.859328910893552</v>
      </c>
      <c r="G16" s="76" t="n">
        <f aca="false">1/(1+'Control Panel'!$B$78)^G15</f>
        <v>0.77672217718355</v>
      </c>
      <c r="H16" s="76" t="n">
        <f aca="false">1/(1+'Control Panel'!$B$78)^H15</f>
        <v>0.702056375481921</v>
      </c>
      <c r="I16" s="76" t="n">
        <f aca="false">1/(1+'Control Panel'!$B$78)^I15</f>
        <v>0.6345681491187</v>
      </c>
      <c r="J16" s="76" t="n">
        <f aca="false">1/(1+'Control Panel'!$B$78)^J15</f>
        <v>0.573567522408038</v>
      </c>
    </row>
    <row r="17" customFormat="false" ht="15" hidden="false" customHeight="true" outlineLevel="0" collapsed="false">
      <c r="A17" s="41" t="s">
        <v>235</v>
      </c>
      <c r="B17" s="77" t="s">
        <v>233</v>
      </c>
      <c r="C17" s="77" t="s">
        <v>233</v>
      </c>
      <c r="D17" s="77" t="s">
        <v>233</v>
      </c>
      <c r="E17" s="47" t="n">
        <f aca="false">E14*E16</f>
        <v>156597.205436689</v>
      </c>
      <c r="F17" s="47" t="n">
        <f aca="false">F14*F16</f>
        <v>181051.86691258</v>
      </c>
      <c r="G17" s="47" t="n">
        <f aca="false">G14*G16</f>
        <v>193307.128678061</v>
      </c>
      <c r="H17" s="47" t="n">
        <f aca="false">H14*H16</f>
        <v>199246.482849636</v>
      </c>
      <c r="I17" s="47" t="n">
        <f aca="false">I14*I16</f>
        <v>198171.933768242</v>
      </c>
      <c r="J17" s="47" t="n">
        <f aca="false">J14*J16</f>
        <v>188702.847507578</v>
      </c>
    </row>
  </sheetData>
  <mergeCells count="2">
    <mergeCell ref="A1:J1"/>
    <mergeCell ref="A7:J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8" width="34"/>
    <col collapsed="false" customWidth="true" hidden="false" outlineLevel="0" max="2" min="2" style="38" width="14"/>
    <col collapsed="false" customWidth="true" hidden="false" outlineLevel="0" max="3" min="3" style="38" width="34"/>
    <col collapsed="false" customWidth="true" hidden="false" outlineLevel="0" max="4" min="4" style="38" width="24"/>
    <col collapsed="false" customWidth="true" hidden="false" outlineLevel="0" max="5" min="5" style="38" width="28"/>
    <col collapsed="false" customWidth="true" hidden="false" outlineLevel="0" max="7" min="6" style="38" width="18"/>
  </cols>
  <sheetData>
    <row r="1" customFormat="false" ht="24" hidden="false" customHeight="true" outlineLevel="0" collapsed="false">
      <c r="A1" s="39" t="s">
        <v>236</v>
      </c>
      <c r="B1" s="39"/>
      <c r="C1" s="39"/>
      <c r="D1" s="39"/>
      <c r="E1" s="39"/>
      <c r="F1" s="39"/>
      <c r="G1" s="39"/>
    </row>
    <row r="3" customFormat="false" ht="15" hidden="false" customHeight="true" outlineLevel="0" collapsed="false">
      <c r="A3" s="40" t="s">
        <v>237</v>
      </c>
      <c r="B3" s="40"/>
      <c r="C3" s="40"/>
      <c r="D3" s="40"/>
      <c r="E3" s="40"/>
      <c r="F3" s="40"/>
      <c r="G3" s="40"/>
    </row>
    <row r="4" customFormat="false" ht="15" hidden="false" customHeight="true" outlineLevel="0" collapsed="false">
      <c r="A4" s="51" t="s">
        <v>154</v>
      </c>
      <c r="B4" s="67" t="n">
        <f aca="false">'Control Panel'!$B$69</f>
        <v>0.0463</v>
      </c>
      <c r="C4" s="43" t="s">
        <v>238</v>
      </c>
      <c r="D4" s="43" t="s">
        <v>239</v>
      </c>
    </row>
    <row r="5" customFormat="false" ht="15" hidden="false" customHeight="true" outlineLevel="0" collapsed="false">
      <c r="A5" s="51" t="s">
        <v>155</v>
      </c>
      <c r="B5" s="76" t="n">
        <f aca="false">'Control Panel'!$B$70</f>
        <v>1.35</v>
      </c>
      <c r="C5" s="43" t="s">
        <v>238</v>
      </c>
      <c r="D5" s="43" t="s">
        <v>239</v>
      </c>
    </row>
    <row r="6" customFormat="false" ht="15" hidden="false" customHeight="true" outlineLevel="0" collapsed="false">
      <c r="A6" s="51" t="s">
        <v>156</v>
      </c>
      <c r="B6" s="67" t="n">
        <f aca="false">'Control Panel'!$B$71</f>
        <v>0.045</v>
      </c>
      <c r="C6" s="43" t="s">
        <v>238</v>
      </c>
      <c r="D6" s="43" t="s">
        <v>239</v>
      </c>
    </row>
    <row r="7" customFormat="false" ht="15" hidden="false" customHeight="true" outlineLevel="0" collapsed="false">
      <c r="A7" s="51" t="s">
        <v>157</v>
      </c>
      <c r="B7" s="67" t="n">
        <f aca="false">'Control Panel'!$B$72</f>
        <v>0</v>
      </c>
      <c r="C7" s="43" t="s">
        <v>238</v>
      </c>
      <c r="D7" s="43" t="s">
        <v>239</v>
      </c>
    </row>
    <row r="8" customFormat="false" ht="15" hidden="false" customHeight="true" outlineLevel="0" collapsed="false">
      <c r="A8" s="41" t="s">
        <v>237</v>
      </c>
      <c r="B8" s="50" t="n">
        <f aca="false">B4+B5*B6+B7</f>
        <v>0.10705</v>
      </c>
      <c r="C8" s="43" t="s">
        <v>238</v>
      </c>
      <c r="D8" s="43" t="s">
        <v>179</v>
      </c>
    </row>
    <row r="10" customFormat="false" ht="15" hidden="false" customHeight="true" outlineLevel="0" collapsed="false">
      <c r="A10" s="40" t="s">
        <v>240</v>
      </c>
      <c r="B10" s="40"/>
      <c r="C10" s="40"/>
      <c r="D10" s="40"/>
      <c r="E10" s="40"/>
      <c r="F10" s="40"/>
      <c r="G10" s="40"/>
    </row>
    <row r="11" customFormat="false" ht="15" hidden="false" customHeight="true" outlineLevel="0" collapsed="false">
      <c r="A11" s="51" t="s">
        <v>158</v>
      </c>
      <c r="B11" s="67" t="n">
        <f aca="false">'Control Panel'!$B$73</f>
        <v>0.045</v>
      </c>
      <c r="C11" s="43" t="s">
        <v>238</v>
      </c>
      <c r="D11" s="43" t="s">
        <v>239</v>
      </c>
    </row>
    <row r="12" customFormat="false" ht="15" hidden="false" customHeight="true" outlineLevel="0" collapsed="false">
      <c r="A12" s="51" t="s">
        <v>30</v>
      </c>
      <c r="B12" s="67" t="n">
        <f aca="false">'Tax Schedule'!J$9</f>
        <v>0.17</v>
      </c>
      <c r="C12" s="43" t="s">
        <v>238</v>
      </c>
      <c r="D12" s="43" t="s">
        <v>239</v>
      </c>
    </row>
    <row r="13" customFormat="false" ht="15" hidden="false" customHeight="true" outlineLevel="0" collapsed="false">
      <c r="A13" s="41" t="s">
        <v>241</v>
      </c>
      <c r="B13" s="50" t="n">
        <f aca="false">B11*(1-B12)</f>
        <v>0.03735</v>
      </c>
      <c r="C13" s="43" t="s">
        <v>238</v>
      </c>
      <c r="D13" s="43" t="s">
        <v>179</v>
      </c>
    </row>
    <row r="14" customFormat="false" ht="15" hidden="false" customHeight="true" outlineLevel="0" collapsed="false">
      <c r="A14" s="51" t="s">
        <v>242</v>
      </c>
      <c r="B14" s="67" t="n">
        <f aca="false">'Control Panel'!$B$74</f>
        <v>0.01</v>
      </c>
      <c r="C14" s="43" t="s">
        <v>238</v>
      </c>
      <c r="D14" s="43" t="s">
        <v>239</v>
      </c>
    </row>
    <row r="15" customFormat="false" ht="15" hidden="false" customHeight="true" outlineLevel="0" collapsed="false">
      <c r="A15" s="51" t="s">
        <v>243</v>
      </c>
      <c r="B15" s="67" t="n">
        <f aca="false">'Control Panel'!$B$75</f>
        <v>0.99</v>
      </c>
      <c r="C15" s="43" t="s">
        <v>238</v>
      </c>
      <c r="D15" s="43" t="s">
        <v>239</v>
      </c>
    </row>
    <row r="16" customFormat="false" ht="15" hidden="false" customHeight="true" outlineLevel="0" collapsed="false">
      <c r="A16" s="51" t="s">
        <v>244</v>
      </c>
      <c r="B16" s="50" t="n">
        <f aca="false">B14+B15</f>
        <v>1</v>
      </c>
      <c r="C16" s="43" t="s">
        <v>238</v>
      </c>
      <c r="D16" s="43" t="s">
        <v>179</v>
      </c>
    </row>
    <row r="17" customFormat="false" ht="15" hidden="false" customHeight="true" outlineLevel="0" collapsed="false">
      <c r="A17" s="41" t="s">
        <v>245</v>
      </c>
      <c r="B17" s="50" t="n">
        <f aca="false">B8*B15+B13*B14</f>
        <v>0.106353</v>
      </c>
      <c r="C17" s="43" t="s">
        <v>238</v>
      </c>
      <c r="D17" s="43" t="s">
        <v>179</v>
      </c>
    </row>
    <row r="19" customFormat="false" ht="15" hidden="false" customHeight="true" outlineLevel="0" collapsed="false">
      <c r="A19" s="40" t="s">
        <v>246</v>
      </c>
      <c r="B19" s="40"/>
      <c r="C19" s="40"/>
      <c r="D19" s="40"/>
      <c r="E19" s="40"/>
      <c r="F19" s="40"/>
      <c r="G19" s="40"/>
    </row>
    <row r="20" customFormat="false" ht="45.75" hidden="false" customHeight="true" outlineLevel="0" collapsed="false">
      <c r="A20" s="51" t="s">
        <v>247</v>
      </c>
      <c r="B20" s="45" t="str">
        <f aca="false">'Source Notes'!B7</f>
        <v>U.S. Treasury and Codex bottom-up beta assumption</v>
      </c>
    </row>
    <row r="21" customFormat="false" ht="15" hidden="false" customHeight="true" outlineLevel="0" collapsed="false">
      <c r="A21" s="51" t="s">
        <v>248</v>
      </c>
      <c r="B21" s="45" t="str">
        <f aca="false">'Source Notes'!E7</f>
        <v>Medium</v>
      </c>
    </row>
    <row r="22" customFormat="false" ht="68.25" hidden="false" customHeight="true" outlineLevel="0" collapsed="false">
      <c r="A22" s="52" t="s">
        <v>249</v>
      </c>
      <c r="B22" s="43" t="s">
        <v>250</v>
      </c>
    </row>
  </sheetData>
  <mergeCells count="4">
    <mergeCell ref="A1:G1"/>
    <mergeCell ref="A3:G3"/>
    <mergeCell ref="A10:G10"/>
    <mergeCell ref="A19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8" width="34"/>
    <col collapsed="false" customWidth="true" hidden="false" outlineLevel="0" max="2" min="2" style="38" width="18"/>
    <col collapsed="false" customWidth="true" hidden="false" outlineLevel="0" max="3" min="3" style="38" width="24"/>
    <col collapsed="false" customWidth="true" hidden="false" outlineLevel="0" max="4" min="4" style="38" width="28"/>
    <col collapsed="false" customWidth="true" hidden="false" outlineLevel="0" max="8" min="5" style="38" width="18"/>
  </cols>
  <sheetData>
    <row r="1" customFormat="false" ht="24" hidden="false" customHeight="true" outlineLevel="0" collapsed="false">
      <c r="A1" s="39" t="s">
        <v>78</v>
      </c>
      <c r="B1" s="39"/>
      <c r="C1" s="39"/>
      <c r="D1" s="39"/>
      <c r="E1" s="39"/>
      <c r="F1" s="39"/>
      <c r="G1" s="39"/>
      <c r="H1" s="39"/>
    </row>
    <row r="3" customFormat="false" ht="15" hidden="false" customHeight="true" outlineLevel="0" collapsed="false">
      <c r="A3" s="40" t="s">
        <v>251</v>
      </c>
      <c r="B3" s="40"/>
      <c r="C3" s="40"/>
      <c r="D3" s="40"/>
      <c r="E3" s="40"/>
      <c r="F3" s="40"/>
      <c r="G3" s="40"/>
      <c r="H3" s="40"/>
    </row>
    <row r="4" customFormat="false" ht="15" hidden="false" customHeight="true" outlineLevel="0" collapsed="false">
      <c r="A4" s="46" t="s">
        <v>252</v>
      </c>
      <c r="B4" s="45" t="str">
        <f aca="false">'Control Panel'!$B$14</f>
        <v>Gordon Growth</v>
      </c>
    </row>
    <row r="5" customFormat="false" ht="15" hidden="false" customHeight="true" outlineLevel="0" collapsed="false">
      <c r="A5" s="46" t="s">
        <v>104</v>
      </c>
      <c r="B5" s="67" t="n">
        <f aca="false">'Control Panel'!$B$78</f>
        <v>0.106353</v>
      </c>
    </row>
    <row r="6" customFormat="false" ht="15" hidden="false" customHeight="true" outlineLevel="0" collapsed="false">
      <c r="A6" s="46" t="s">
        <v>105</v>
      </c>
      <c r="B6" s="67" t="n">
        <f aca="false">'Control Panel'!$B$83</f>
        <v>0.03</v>
      </c>
    </row>
    <row r="7" customFormat="false" ht="15" hidden="false" customHeight="true" outlineLevel="0" collapsed="false">
      <c r="A7" s="46" t="s">
        <v>167</v>
      </c>
      <c r="B7" s="78" t="n">
        <f aca="false">'Control Panel'!$B$84</f>
        <v>25</v>
      </c>
    </row>
    <row r="8" customFormat="false" ht="15" hidden="false" customHeight="true" outlineLevel="0" collapsed="false">
      <c r="A8" s="46" t="s">
        <v>253</v>
      </c>
      <c r="B8" s="65" t="n">
        <f aca="false">'Margin Cost Build'!J$12</f>
        <v>432995.965981577</v>
      </c>
    </row>
    <row r="9" customFormat="false" ht="15" hidden="false" customHeight="true" outlineLevel="0" collapsed="false">
      <c r="A9" s="46" t="s">
        <v>254</v>
      </c>
      <c r="B9" s="65" t="n">
        <f aca="false">'Unlevered FCF'!J$14</f>
        <v>328998.487772349</v>
      </c>
    </row>
    <row r="10" customFormat="false" ht="15" hidden="false" customHeight="true" outlineLevel="0" collapsed="false">
      <c r="A10" s="41" t="s">
        <v>255</v>
      </c>
      <c r="B10" s="47" t="n">
        <f aca="false">B9*(1+B6)/(B5-B6)</f>
        <v>4438181.111489</v>
      </c>
    </row>
    <row r="11" customFormat="false" ht="15" hidden="false" customHeight="true" outlineLevel="0" collapsed="false">
      <c r="A11" s="41" t="s">
        <v>256</v>
      </c>
      <c r="B11" s="47" t="n">
        <f aca="false">B8*B7</f>
        <v>10824899.1495394</v>
      </c>
    </row>
    <row r="12" customFormat="false" ht="15" hidden="false" customHeight="true" outlineLevel="0" collapsed="false">
      <c r="A12" s="41" t="s">
        <v>257</v>
      </c>
      <c r="B12" s="47" t="n">
        <f aca="false">IF(B4="Gordon Growth",B10,B11)</f>
        <v>4438181.111489</v>
      </c>
    </row>
    <row r="13" customFormat="false" ht="15" hidden="false" customHeight="true" outlineLevel="0" collapsed="false">
      <c r="A13" s="46" t="s">
        <v>258</v>
      </c>
      <c r="B13" s="79" t="n">
        <f aca="false">1/(1+B5)^6</f>
        <v>0.54530275646991</v>
      </c>
    </row>
    <row r="14" customFormat="false" ht="15" hidden="false" customHeight="true" outlineLevel="0" collapsed="false">
      <c r="A14" s="41" t="s">
        <v>44</v>
      </c>
      <c r="B14" s="47" t="n">
        <f aca="false">B12*B13</f>
        <v>2420152.39380764</v>
      </c>
    </row>
    <row r="15" customFormat="false" ht="15" hidden="false" customHeight="true" outlineLevel="0" collapsed="false">
      <c r="A15" s="46" t="s">
        <v>259</v>
      </c>
      <c r="B15" s="80" t="n">
        <f aca="false">B12/B8</f>
        <v>10.2499363970468</v>
      </c>
    </row>
    <row r="16" customFormat="false" ht="15" hidden="false" customHeight="true" outlineLevel="0" collapsed="false">
      <c r="A16" s="46" t="s">
        <v>260</v>
      </c>
      <c r="B16" s="50" t="n">
        <f aca="false">B9/B12</f>
        <v>0.0741291262135922</v>
      </c>
    </row>
    <row r="17" customFormat="false" ht="15" hidden="false" customHeight="true" outlineLevel="0" collapsed="false">
      <c r="A17" s="46" t="s">
        <v>261</v>
      </c>
      <c r="B17" s="50" t="n">
        <f aca="false">B5-B9/B12</f>
        <v>0.0322238737864078</v>
      </c>
    </row>
    <row r="20" customFormat="false" ht="15" hidden="false" customHeight="true" outlineLevel="0" collapsed="false">
      <c r="A20" s="40" t="s">
        <v>262</v>
      </c>
      <c r="B20" s="40"/>
      <c r="C20" s="40"/>
      <c r="D20" s="40"/>
      <c r="E20" s="40"/>
      <c r="F20" s="40"/>
      <c r="G20" s="40"/>
      <c r="H20" s="40"/>
    </row>
    <row r="21" customFormat="false" ht="15" hidden="false" customHeight="true" outlineLevel="0" collapsed="false">
      <c r="A21" s="51" t="s">
        <v>263</v>
      </c>
      <c r="B21" s="50" t="n">
        <f aca="false">B14/'DCF Valuation'!B$8</f>
        <v>0.684194267917582</v>
      </c>
    </row>
    <row r="22" customFormat="false" ht="15" hidden="false" customHeight="true" outlineLevel="0" collapsed="false">
      <c r="A22" s="51" t="s">
        <v>264</v>
      </c>
      <c r="B22" s="81" t="str">
        <f aca="false">IF(B6&lt;B5,"OK","FAIL")</f>
        <v>OK</v>
      </c>
    </row>
    <row r="23" customFormat="false" ht="15" hidden="false" customHeight="true" outlineLevel="0" collapsed="false">
      <c r="A23" s="51" t="s">
        <v>265</v>
      </c>
      <c r="B23" s="81" t="str">
        <f aca="false">IF(B12&gt;0,"OK","FAIL")</f>
        <v>OK</v>
      </c>
    </row>
  </sheetData>
  <mergeCells count="3">
    <mergeCell ref="A1:H1"/>
    <mergeCell ref="A3:H3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8" width="36"/>
    <col collapsed="false" customWidth="true" hidden="false" outlineLevel="0" max="2" min="2" style="38" width="18"/>
    <col collapsed="false" customWidth="true" hidden="false" outlineLevel="0" max="3" min="3" style="38" width="24"/>
    <col collapsed="false" customWidth="true" hidden="false" outlineLevel="0" max="4" min="4" style="38" width="28"/>
    <col collapsed="false" customWidth="true" hidden="false" outlineLevel="0" max="8" min="5" style="38" width="18"/>
  </cols>
  <sheetData>
    <row r="1" customFormat="false" ht="24" hidden="false" customHeight="true" outlineLevel="0" collapsed="false">
      <c r="A1" s="39" t="s">
        <v>79</v>
      </c>
      <c r="B1" s="39"/>
      <c r="C1" s="39"/>
      <c r="D1" s="39"/>
      <c r="E1" s="39"/>
      <c r="F1" s="39"/>
      <c r="G1" s="39"/>
      <c r="H1" s="39"/>
    </row>
    <row r="3" customFormat="false" ht="15" hidden="false" customHeight="true" outlineLevel="0" collapsed="false">
      <c r="A3" s="40" t="s">
        <v>18</v>
      </c>
      <c r="B3" s="40"/>
      <c r="C3" s="40"/>
      <c r="D3" s="40"/>
      <c r="E3" s="40"/>
      <c r="F3" s="40"/>
      <c r="G3" s="40"/>
      <c r="H3" s="40"/>
    </row>
    <row r="4" customFormat="false" ht="15" hidden="false" customHeight="true" outlineLevel="0" collapsed="false">
      <c r="A4" s="41" t="s">
        <v>266</v>
      </c>
      <c r="B4" s="47" t="n">
        <f aca="false">SUM('Unlevered FCF'!E$17:J$17)</f>
        <v>1117077.46515279</v>
      </c>
    </row>
    <row r="5" customFormat="false" ht="15" hidden="false" customHeight="true" outlineLevel="0" collapsed="false">
      <c r="A5" s="41" t="s">
        <v>44</v>
      </c>
      <c r="B5" s="65" t="n">
        <f aca="false">'Terminal Value'!B$14</f>
        <v>2420152.39380764</v>
      </c>
    </row>
    <row r="6" customFormat="false" ht="15" hidden="false" customHeight="true" outlineLevel="0" collapsed="false">
      <c r="A6" s="41" t="s">
        <v>18</v>
      </c>
      <c r="B6" s="47" t="n">
        <f aca="false">B4+B5</f>
        <v>3537229.85896043</v>
      </c>
    </row>
    <row r="7" customFormat="false" ht="15" hidden="false" customHeight="true" outlineLevel="0" collapsed="false">
      <c r="A7" s="46" t="s">
        <v>267</v>
      </c>
      <c r="B7" s="50" t="n">
        <f aca="false">B5/B6</f>
        <v>0.684194267917582</v>
      </c>
    </row>
    <row r="8" customFormat="false" ht="15" hidden="false" customHeight="true" outlineLevel="0" collapsed="false">
      <c r="A8" s="46" t="s">
        <v>268</v>
      </c>
      <c r="B8" s="47" t="n">
        <f aca="false">B4+B5</f>
        <v>3537229.85896043</v>
      </c>
    </row>
    <row r="10" customFormat="false" ht="15" hidden="false" customHeight="true" outlineLevel="0" collapsed="false">
      <c r="A10" s="40" t="s">
        <v>269</v>
      </c>
      <c r="B10" s="40"/>
      <c r="C10" s="40"/>
      <c r="D10" s="40"/>
      <c r="E10" s="40"/>
      <c r="F10" s="40"/>
      <c r="G10" s="40"/>
      <c r="H10" s="40"/>
    </row>
    <row r="11" customFormat="false" ht="15" hidden="false" customHeight="true" outlineLevel="0" collapsed="false">
      <c r="A11" s="46" t="s">
        <v>270</v>
      </c>
      <c r="B11" s="65" t="n">
        <f aca="false">'Control Panel'!$B$85</f>
        <v>-68224</v>
      </c>
    </row>
    <row r="12" customFormat="false" ht="15" hidden="false" customHeight="true" outlineLevel="0" collapsed="false">
      <c r="A12" s="46" t="s">
        <v>271</v>
      </c>
      <c r="B12" s="65" t="n">
        <f aca="false">'Control Panel'!$B$87</f>
        <v>0</v>
      </c>
    </row>
    <row r="13" customFormat="false" ht="15" hidden="false" customHeight="true" outlineLevel="0" collapsed="false">
      <c r="A13" s="46" t="s">
        <v>272</v>
      </c>
      <c r="B13" s="65" t="n">
        <f aca="false">'Control Panel'!$B$88</f>
        <v>0</v>
      </c>
    </row>
    <row r="14" customFormat="false" ht="15" hidden="false" customHeight="true" outlineLevel="0" collapsed="false">
      <c r="A14" s="46" t="s">
        <v>273</v>
      </c>
      <c r="B14" s="65" t="n">
        <f aca="false">'Control Panel'!$B$89</f>
        <v>0</v>
      </c>
    </row>
    <row r="15" customFormat="false" ht="15" hidden="false" customHeight="true" outlineLevel="0" collapsed="false">
      <c r="A15" s="46" t="s">
        <v>50</v>
      </c>
      <c r="B15" s="65" t="n">
        <f aca="false">'Control Panel'!$B$90</f>
        <v>0</v>
      </c>
    </row>
    <row r="16" customFormat="false" ht="15" hidden="false" customHeight="true" outlineLevel="0" collapsed="false">
      <c r="A16" s="41" t="s">
        <v>51</v>
      </c>
      <c r="B16" s="47" t="n">
        <f aca="false">B6-B11-B12-B13+B14+B15</f>
        <v>3605453.85896043</v>
      </c>
    </row>
    <row r="17" customFormat="false" ht="15" hidden="false" customHeight="true" outlineLevel="0" collapsed="false">
      <c r="A17" s="46" t="s">
        <v>52</v>
      </c>
      <c r="B17" s="82" t="n">
        <f aca="false">'Control Panel'!$B$86</f>
        <v>24391</v>
      </c>
    </row>
    <row r="18" customFormat="false" ht="15" hidden="false" customHeight="true" outlineLevel="0" collapsed="false">
      <c r="A18" s="41" t="s">
        <v>95</v>
      </c>
      <c r="B18" s="48" t="n">
        <f aca="false">B16/B17</f>
        <v>147.819025827577</v>
      </c>
    </row>
    <row r="19" customFormat="false" ht="15" hidden="false" customHeight="true" outlineLevel="0" collapsed="false">
      <c r="A19" s="46" t="s">
        <v>53</v>
      </c>
      <c r="B19" s="49" t="n">
        <f aca="false">'Control Panel'!$B$12</f>
        <v>211.94</v>
      </c>
    </row>
    <row r="20" customFormat="false" ht="15" hidden="false" customHeight="true" outlineLevel="0" collapsed="false">
      <c r="A20" s="41" t="s">
        <v>96</v>
      </c>
      <c r="B20" s="50" t="n">
        <f aca="false">B18/B19-1</f>
        <v>-0.302543050733335</v>
      </c>
    </row>
    <row r="21" customFormat="false" ht="15" hidden="false" customHeight="true" outlineLevel="0" collapsed="false">
      <c r="A21" s="46" t="s">
        <v>274</v>
      </c>
      <c r="B21" s="80" t="n">
        <f aca="false">B6/'Margin Cost Build'!J$12</f>
        <v>8.16919818396398</v>
      </c>
    </row>
    <row r="22" customFormat="false" ht="15" hidden="false" customHeight="true" outlineLevel="0" collapsed="false">
      <c r="A22" s="46" t="s">
        <v>275</v>
      </c>
      <c r="B22" s="50" t="n">
        <f aca="false">'Unlevered FCF'!J$14/B6</f>
        <v>0.0930102088047623</v>
      </c>
    </row>
  </sheetData>
  <mergeCells count="3">
    <mergeCell ref="A1:H1"/>
    <mergeCell ref="A3:H3"/>
    <mergeCell ref="A10:H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L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8" width="24"/>
    <col collapsed="false" customWidth="true" hidden="false" outlineLevel="0" max="8" min="2" style="38" width="13"/>
    <col collapsed="false" customWidth="true" hidden="false" outlineLevel="0" max="9" min="9" style="38" width="3"/>
    <col collapsed="false" customWidth="true" hidden="false" outlineLevel="0" max="10" min="10" style="38" width="24"/>
    <col collapsed="false" customWidth="true" hidden="false" outlineLevel="0" max="12" min="11" style="38" width="13"/>
  </cols>
  <sheetData>
    <row r="1" customFormat="false" ht="24" hidden="false" customHeight="true" outlineLevel="0" collapsed="false">
      <c r="A1" s="39" t="s">
        <v>80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3" customFormat="false" ht="15" hidden="false" customHeight="true" outlineLevel="0" collapsed="false">
      <c r="A3" s="40" t="s">
        <v>276</v>
      </c>
      <c r="B3" s="40"/>
      <c r="C3" s="40"/>
      <c r="D3" s="40"/>
      <c r="E3" s="40"/>
      <c r="F3" s="40"/>
      <c r="G3" s="40"/>
      <c r="H3" s="40"/>
    </row>
    <row r="4" customFormat="false" ht="15" hidden="false" customHeight="true" outlineLevel="0" collapsed="false">
      <c r="A4" s="56" t="s">
        <v>16</v>
      </c>
      <c r="B4" s="83" t="n">
        <v>0.075</v>
      </c>
      <c r="C4" s="83" t="n">
        <v>0.08</v>
      </c>
      <c r="D4" s="83" t="n">
        <v>0.085</v>
      </c>
      <c r="E4" s="83" t="n">
        <v>0.09</v>
      </c>
      <c r="F4" s="83" t="n">
        <v>0.095</v>
      </c>
      <c r="G4" s="83" t="n">
        <v>0.1</v>
      </c>
      <c r="H4" s="83" t="n">
        <v>0.105</v>
      </c>
    </row>
    <row r="5" customFormat="false" ht="15" hidden="false" customHeight="true" outlineLevel="0" collapsed="false">
      <c r="A5" s="84" t="n">
        <v>0.015</v>
      </c>
      <c r="B5" s="48" t="n">
        <f aca="false">(('Unlevered FCF'!E$14/(1+B$4)^1+'Unlevered FCF'!F$14/(1+B$4)^2+'Unlevered FCF'!G$14/(1+B$4)^3+'Unlevered FCF'!H$14/(1+B$4)^4+'Unlevered FCF'!I$14/(1+B$4)^5+'Unlevered FCF'!J$14/(1+B$4)^6)+('Unlevered FCF'!J$14*(1+$A5)/(B$4-$A5))/(1+B$4)^6-'Control Panel'!$B$85-'Control Panel'!$B$87-'Control Panel'!$B$88+'Control Panel'!$B$89+'Control Panel'!$B$90)/'Control Panel'!$B$86</f>
        <v>198.990926420083</v>
      </c>
      <c r="C5" s="48" t="n">
        <f aca="false">(('Unlevered FCF'!E$14/(1+C$4)^1+'Unlevered FCF'!F$14/(1+C$4)^2+'Unlevered FCF'!G$14/(1+C$4)^3+'Unlevered FCF'!H$14/(1+C$4)^4+'Unlevered FCF'!I$14/(1+C$4)^5+'Unlevered FCF'!J$14/(1+C$4)^6)+('Unlevered FCF'!J$14*(1+$A5)/(C$4-$A5))/(1+C$4)^6-'Control Panel'!$B$85-'Control Panel'!$B$87-'Control Panel'!$B$88+'Control Panel'!$B$89+'Control Panel'!$B$90)/'Control Panel'!$B$86</f>
        <v>183.053745921406</v>
      </c>
      <c r="D5" s="48" t="n">
        <f aca="false">(('Unlevered FCF'!E$14/(1+D$4)^1+'Unlevered FCF'!F$14/(1+D$4)^2+'Unlevered FCF'!G$14/(1+D$4)^3+'Unlevered FCF'!H$14/(1+D$4)^4+'Unlevered FCF'!I$14/(1+D$4)^5+'Unlevered FCF'!J$14/(1+D$4)^6)+('Unlevered FCF'!J$14*(1+$A5)/(D$4-$A5))/(1+D$4)^6-'Control Panel'!$B$85-'Control Panel'!$B$87-'Control Panel'!$B$88+'Control Panel'!$B$89+'Control Panel'!$B$90)/'Control Panel'!$B$86</f>
        <v>169.40786297431</v>
      </c>
      <c r="E5" s="48" t="n">
        <f aca="false">(('Unlevered FCF'!E$14/(1+E$4)^1+'Unlevered FCF'!F$14/(1+E$4)^2+'Unlevered FCF'!G$14/(1+E$4)^3+'Unlevered FCF'!H$14/(1+E$4)^4+'Unlevered FCF'!I$14/(1+E$4)^5+'Unlevered FCF'!J$14/(1+E$4)^6)+('Unlevered FCF'!J$14*(1+$A5)/(E$4-$A5))/(1+E$4)^6-'Control Panel'!$B$85-'Control Panel'!$B$87-'Control Panel'!$B$88+'Control Panel'!$B$89+'Control Panel'!$B$90)/'Control Panel'!$B$86</f>
        <v>157.594681343002</v>
      </c>
      <c r="F5" s="48" t="n">
        <f aca="false">(('Unlevered FCF'!E$14/(1+F$4)^1+'Unlevered FCF'!F$14/(1+F$4)^2+'Unlevered FCF'!G$14/(1+F$4)^3+'Unlevered FCF'!H$14/(1+F$4)^4+'Unlevered FCF'!I$14/(1+F$4)^5+'Unlevered FCF'!J$14/(1+F$4)^6)+('Unlevered FCF'!J$14*(1+$A5)/(F$4-$A5))/(1+F$4)^6-'Control Panel'!$B$85-'Control Panel'!$B$87-'Control Panel'!$B$88+'Control Panel'!$B$89+'Control Panel'!$B$90)/'Control Panel'!$B$86</f>
        <v>147.270263431363</v>
      </c>
      <c r="G5" s="48" t="n">
        <f aca="false">(('Unlevered FCF'!E$14/(1+G$4)^1+'Unlevered FCF'!F$14/(1+G$4)^2+'Unlevered FCF'!G$14/(1+G$4)^3+'Unlevered FCF'!H$14/(1+G$4)^4+'Unlevered FCF'!I$14/(1+G$4)^5+'Unlevered FCF'!J$14/(1+G$4)^6)+('Unlevered FCF'!J$14*(1+$A5)/(G$4-$A5))/(1+G$4)^6-'Control Panel'!$B$85-'Control Panel'!$B$87-'Control Panel'!$B$88+'Control Panel'!$B$89+'Control Panel'!$B$90)/'Control Panel'!$B$86</f>
        <v>138.171606833263</v>
      </c>
      <c r="H5" s="48" t="n">
        <f aca="false">(('Unlevered FCF'!E$14/(1+H$4)^1+'Unlevered FCF'!F$14/(1+H$4)^2+'Unlevered FCF'!G$14/(1+H$4)^3+'Unlevered FCF'!H$14/(1+H$4)^4+'Unlevered FCF'!I$14/(1+H$4)^5+'Unlevered FCF'!J$14/(1+H$4)^6)+('Unlevered FCF'!J$14*(1+$A5)/(H$4-$A5))/(1+H$4)^6-'Control Panel'!$B$85-'Control Panel'!$B$87-'Control Panel'!$B$88+'Control Panel'!$B$89+'Control Panel'!$B$90)/'Control Panel'!$B$86</f>
        <v>130.094162045016</v>
      </c>
    </row>
    <row r="6" customFormat="false" ht="15" hidden="false" customHeight="true" outlineLevel="0" collapsed="false">
      <c r="A6" s="84" t="n">
        <v>0.02</v>
      </c>
      <c r="B6" s="48" t="n">
        <f aca="false">(('Unlevered FCF'!E$14/(1+B$4)^1+'Unlevered FCF'!F$14/(1+B$4)^2+'Unlevered FCF'!G$14/(1+B$4)^3+'Unlevered FCF'!H$14/(1+B$4)^4+'Unlevered FCF'!I$14/(1+B$4)^5+'Unlevered FCF'!J$14/(1+B$4)^6)+('Unlevered FCF'!J$14*(1+$A6)/(B$4-$A6))/(1+B$4)^6-'Control Panel'!$B$85-'Control Panel'!$B$87-'Control Panel'!$B$88+'Control Panel'!$B$89+'Control Panel'!$B$90)/'Control Panel'!$B$86</f>
        <v>213.226600575103</v>
      </c>
      <c r="C6" s="48" t="n">
        <f aca="false">(('Unlevered FCF'!E$14/(1+C$4)^1+'Unlevered FCF'!F$14/(1+C$4)^2+'Unlevered FCF'!G$14/(1+C$4)^3+'Unlevered FCF'!H$14/(1+C$4)^4+'Unlevered FCF'!I$14/(1+C$4)^5+'Unlevered FCF'!J$14/(1+C$4)^6)+('Unlevered FCF'!J$14*(1+$A6)/(C$4-$A6))/(1+C$4)^6-'Control Panel'!$B$85-'Control Panel'!$B$87-'Control Panel'!$B$88+'Control Panel'!$B$89+'Control Panel'!$B$90)/'Control Panel'!$B$86</f>
        <v>194.823053569949</v>
      </c>
      <c r="D6" s="48" t="n">
        <f aca="false">(('Unlevered FCF'!E$14/(1+D$4)^1+'Unlevered FCF'!F$14/(1+D$4)^2+'Unlevered FCF'!G$14/(1+D$4)^3+'Unlevered FCF'!H$14/(1+D$4)^4+'Unlevered FCF'!I$14/(1+D$4)^5+'Unlevered FCF'!J$14/(1+D$4)^6)+('Unlevered FCF'!J$14*(1+$A6)/(D$4-$A6))/(1+D$4)^6-'Control Panel'!$B$85-'Control Panel'!$B$87-'Control Panel'!$B$88+'Control Panel'!$B$89+'Control Panel'!$B$90)/'Control Panel'!$B$86</f>
        <v>179.265531541567</v>
      </c>
      <c r="E6" s="48" t="n">
        <f aca="false">(('Unlevered FCF'!E$14/(1+E$4)^1+'Unlevered FCF'!F$14/(1+E$4)^2+'Unlevered FCF'!G$14/(1+E$4)^3+'Unlevered FCF'!H$14/(1+E$4)^4+'Unlevered FCF'!I$14/(1+E$4)^5+'Unlevered FCF'!J$14/(1+E$4)^6)+('Unlevered FCF'!J$14*(1+$A6)/(E$4-$A6))/(1+E$4)^6-'Control Panel'!$B$85-'Control Panel'!$B$87-'Control Panel'!$B$88+'Control Panel'!$B$89+'Control Panel'!$B$90)/'Control Panel'!$B$86</f>
        <v>165.94383601746</v>
      </c>
      <c r="F6" s="48" t="n">
        <f aca="false">(('Unlevered FCF'!E$14/(1+F$4)^1+'Unlevered FCF'!F$14/(1+F$4)^2+'Unlevered FCF'!G$14/(1+F$4)^3+'Unlevered FCF'!H$14/(1+F$4)^4+'Unlevered FCF'!I$14/(1+F$4)^5+'Unlevered FCF'!J$14/(1+F$4)^6)+('Unlevered FCF'!J$14*(1+$A6)/(F$4-$A6))/(1+F$4)^6-'Control Panel'!$B$85-'Control Panel'!$B$87-'Control Panel'!$B$88+'Control Panel'!$B$89+'Control Panel'!$B$90)/'Control Panel'!$B$86</f>
        <v>154.410497577459</v>
      </c>
      <c r="G6" s="48" t="n">
        <f aca="false">(('Unlevered FCF'!E$14/(1+G$4)^1+'Unlevered FCF'!F$14/(1+G$4)^2+'Unlevered FCF'!G$14/(1+G$4)^3+'Unlevered FCF'!H$14/(1+G$4)^4+'Unlevered FCF'!I$14/(1+G$4)^5+'Unlevered FCF'!J$14/(1+G$4)^6)+('Unlevered FCF'!J$14*(1+$A6)/(G$4-$A6))/(1+G$4)^6-'Control Panel'!$B$85-'Control Panel'!$B$87-'Control Panel'!$B$88+'Control Panel'!$B$89+'Control Panel'!$B$90)/'Control Panel'!$B$86</f>
        <v>144.329922711349</v>
      </c>
      <c r="H6" s="48" t="n">
        <f aca="false">(('Unlevered FCF'!E$14/(1+H$4)^1+'Unlevered FCF'!F$14/(1+H$4)^2+'Unlevered FCF'!G$14/(1+H$4)^3+'Unlevered FCF'!H$14/(1+H$4)^4+'Unlevered FCF'!I$14/(1+H$4)^5+'Unlevered FCF'!J$14/(1+H$4)^6)+('Unlevered FCF'!J$14*(1+$A6)/(H$4-$A6))/(1+H$4)^6-'Control Panel'!$B$85-'Control Panel'!$B$87-'Control Panel'!$B$88+'Control Panel'!$B$89+'Control Panel'!$B$90)/'Control Panel'!$B$86</f>
        <v>135.445488856291</v>
      </c>
    </row>
    <row r="7" customFormat="false" ht="15" hidden="false" customHeight="true" outlineLevel="0" collapsed="false">
      <c r="A7" s="84" t="n">
        <v>0.025</v>
      </c>
      <c r="B7" s="48" t="n">
        <f aca="false">(('Unlevered FCF'!E$14/(1+B$4)^1+'Unlevered FCF'!F$14/(1+B$4)^2+'Unlevered FCF'!G$14/(1+B$4)^3+'Unlevered FCF'!H$14/(1+B$4)^4+'Unlevered FCF'!I$14/(1+B$4)^5+'Unlevered FCF'!J$14/(1+B$4)^6)+('Unlevered FCF'!J$14*(1+$A7)/(B$4-$A7))/(1+B$4)^6-'Control Panel'!$B$85-'Control Panel'!$B$87-'Control Panel'!$B$88+'Control Panel'!$B$89+'Control Panel'!$B$90)/'Control Panel'!$B$86</f>
        <v>230.309409561128</v>
      </c>
      <c r="C7" s="48" t="n">
        <f aca="false">(('Unlevered FCF'!E$14/(1+C$4)^1+'Unlevered FCF'!F$14/(1+C$4)^2+'Unlevered FCF'!G$14/(1+C$4)^3+'Unlevered FCF'!H$14/(1+C$4)^4+'Unlevered FCF'!I$14/(1+C$4)^5+'Unlevered FCF'!J$14/(1+C$4)^6)+('Unlevered FCF'!J$14*(1+$A7)/(C$4-$A7))/(1+C$4)^6-'Control Panel'!$B$85-'Control Panel'!$B$87-'Control Panel'!$B$88+'Control Panel'!$B$89+'Control Panel'!$B$90)/'Control Panel'!$B$86</f>
        <v>208.732235336409</v>
      </c>
      <c r="D7" s="48" t="n">
        <f aca="false">(('Unlevered FCF'!E$14/(1+D$4)^1+'Unlevered FCF'!F$14/(1+D$4)^2+'Unlevered FCF'!G$14/(1+D$4)^3+'Unlevered FCF'!H$14/(1+D$4)^4+'Unlevered FCF'!I$14/(1+D$4)^5+'Unlevered FCF'!J$14/(1+D$4)^6)+('Unlevered FCF'!J$14*(1+$A7)/(D$4-$A7))/(1+D$4)^6-'Control Panel'!$B$85-'Control Panel'!$B$87-'Control Panel'!$B$88+'Control Panel'!$B$89+'Control Panel'!$B$90)/'Control Panel'!$B$86</f>
        <v>190.766144870034</v>
      </c>
      <c r="E7" s="48" t="n">
        <f aca="false">(('Unlevered FCF'!E$14/(1+E$4)^1+'Unlevered FCF'!F$14/(1+E$4)^2+'Unlevered FCF'!G$14/(1+E$4)^3+'Unlevered FCF'!H$14/(1+E$4)^4+'Unlevered FCF'!I$14/(1+E$4)^5+'Unlevered FCF'!J$14/(1+E$4)^6)+('Unlevered FCF'!J$14*(1+$A7)/(E$4-$A7))/(1+E$4)^6-'Control Panel'!$B$85-'Control Panel'!$B$87-'Control Panel'!$B$88+'Control Panel'!$B$89+'Control Panel'!$B$90)/'Control Panel'!$B$86</f>
        <v>175.57747602645</v>
      </c>
      <c r="F7" s="48" t="n">
        <f aca="false">(('Unlevered FCF'!E$14/(1+F$4)^1+'Unlevered FCF'!F$14/(1+F$4)^2+'Unlevered FCF'!G$14/(1+F$4)^3+'Unlevered FCF'!H$14/(1+F$4)^4+'Unlevered FCF'!I$14/(1+F$4)^5+'Unlevered FCF'!J$14/(1+F$4)^6)+('Unlevered FCF'!J$14*(1+$A7)/(F$4-$A7))/(1+F$4)^6-'Control Panel'!$B$85-'Control Panel'!$B$87-'Control Panel'!$B$88+'Control Panel'!$B$89+'Control Panel'!$B$90)/'Control Panel'!$B$86</f>
        <v>162.570765172996</v>
      </c>
      <c r="G7" s="48" t="n">
        <f aca="false">(('Unlevered FCF'!E$14/(1+G$4)^1+'Unlevered FCF'!F$14/(1+G$4)^2+'Unlevered FCF'!G$14/(1+G$4)^3+'Unlevered FCF'!H$14/(1+G$4)^4+'Unlevered FCF'!I$14/(1+G$4)^5+'Unlevered FCF'!J$14/(1+G$4)^6)+('Unlevered FCF'!J$14*(1+$A7)/(G$4-$A7))/(1+G$4)^6-'Control Panel'!$B$85-'Control Panel'!$B$87-'Control Panel'!$B$88+'Control Panel'!$B$89+'Control Panel'!$B$90)/'Control Panel'!$B$86</f>
        <v>151.30934737318</v>
      </c>
      <c r="H7" s="48" t="n">
        <f aca="false">(('Unlevered FCF'!E$14/(1+H$4)^1+'Unlevered FCF'!F$14/(1+H$4)^2+'Unlevered FCF'!G$14/(1+H$4)^3+'Unlevered FCF'!H$14/(1+H$4)^4+'Unlevered FCF'!I$14/(1+H$4)^5+'Unlevered FCF'!J$14/(1+H$4)^6)+('Unlevered FCF'!J$14*(1+$A7)/(H$4-$A7))/(1+H$4)^6-'Control Panel'!$B$85-'Control Panel'!$B$87-'Control Panel'!$B$88+'Control Panel'!$B$89+'Control Panel'!$B$90)/'Control Panel'!$B$86</f>
        <v>141.465731518975</v>
      </c>
    </row>
    <row r="8" customFormat="false" ht="15" hidden="false" customHeight="true" outlineLevel="0" collapsed="false">
      <c r="A8" s="84" t="n">
        <v>0.03</v>
      </c>
      <c r="B8" s="48" t="n">
        <f aca="false">(('Unlevered FCF'!E$14/(1+B$4)^1+'Unlevered FCF'!F$14/(1+B$4)^2+'Unlevered FCF'!G$14/(1+B$4)^3+'Unlevered FCF'!H$14/(1+B$4)^4+'Unlevered FCF'!I$14/(1+B$4)^5+'Unlevered FCF'!J$14/(1+B$4)^6)+('Unlevered FCF'!J$14*(1+$A8)/(B$4-$A8))/(1+B$4)^6-'Control Panel'!$B$85-'Control Panel'!$B$87-'Control Panel'!$B$88+'Control Panel'!$B$89+'Control Panel'!$B$90)/'Control Panel'!$B$86</f>
        <v>251.188398321824</v>
      </c>
      <c r="C8" s="48" t="n">
        <f aca="false">(('Unlevered FCF'!E$14/(1+C$4)^1+'Unlevered FCF'!F$14/(1+C$4)^2+'Unlevered FCF'!G$14/(1+C$4)^3+'Unlevered FCF'!H$14/(1+C$4)^4+'Unlevered FCF'!I$14/(1+C$4)^5+'Unlevered FCF'!J$14/(1+C$4)^6)+('Unlevered FCF'!J$14*(1+$A8)/(C$4-$A8))/(1+C$4)^6-'Control Panel'!$B$85-'Control Panel'!$B$87-'Control Panel'!$B$88+'Control Panel'!$B$89+'Control Panel'!$B$90)/'Control Panel'!$B$86</f>
        <v>225.423253456161</v>
      </c>
      <c r="D8" s="48" t="n">
        <f aca="false">(('Unlevered FCF'!E$14/(1+D$4)^1+'Unlevered FCF'!F$14/(1+D$4)^2+'Unlevered FCF'!G$14/(1+D$4)^3+'Unlevered FCF'!H$14/(1+D$4)^4+'Unlevered FCF'!I$14/(1+D$4)^5+'Unlevered FCF'!J$14/(1+D$4)^6)+('Unlevered FCF'!J$14*(1+$A8)/(D$4-$A8))/(1+D$4)^6-'Control Panel'!$B$85-'Control Panel'!$B$87-'Control Panel'!$B$88+'Control Panel'!$B$89+'Control Panel'!$B$90)/'Control Panel'!$B$86</f>
        <v>204.357778803677</v>
      </c>
      <c r="E8" s="48" t="n">
        <f aca="false">(('Unlevered FCF'!E$14/(1+E$4)^1+'Unlevered FCF'!F$14/(1+E$4)^2+'Unlevered FCF'!G$14/(1+E$4)^3+'Unlevered FCF'!H$14/(1+E$4)^4+'Unlevered FCF'!I$14/(1+E$4)^5+'Unlevered FCF'!J$14/(1+E$4)^6)+('Unlevered FCF'!J$14*(1+$A8)/(E$4-$A8))/(1+E$4)^6-'Control Panel'!$B$85-'Control Panel'!$B$87-'Control Panel'!$B$88+'Control Panel'!$B$89+'Control Panel'!$B$90)/'Control Panel'!$B$86</f>
        <v>186.816722703606</v>
      </c>
      <c r="F8" s="48" t="n">
        <f aca="false">(('Unlevered FCF'!E$14/(1+F$4)^1+'Unlevered FCF'!F$14/(1+F$4)^2+'Unlevered FCF'!G$14/(1+F$4)^3+'Unlevered FCF'!H$14/(1+F$4)^4+'Unlevered FCF'!I$14/(1+F$4)^5+'Unlevered FCF'!J$14/(1+F$4)^6)+('Unlevered FCF'!J$14*(1+$A8)/(F$4-$A8))/(1+F$4)^6-'Control Panel'!$B$85-'Control Panel'!$B$87-'Control Panel'!$B$88+'Control Panel'!$B$89+'Control Panel'!$B$90)/'Control Panel'!$B$86</f>
        <v>171.986458552463</v>
      </c>
      <c r="G8" s="48" t="n">
        <f aca="false">(('Unlevered FCF'!E$14/(1+G$4)^1+'Unlevered FCF'!F$14/(1+G$4)^2+'Unlevered FCF'!G$14/(1+G$4)^3+'Unlevered FCF'!H$14/(1+G$4)^4+'Unlevered FCF'!I$14/(1+G$4)^5+'Unlevered FCF'!J$14/(1+G$4)^6)+('Unlevered FCF'!J$14*(1+$A8)/(G$4-$A8))/(1+G$4)^6-'Control Panel'!$B$85-'Control Panel'!$B$87-'Control Panel'!$B$88+'Control Panel'!$B$89+'Control Panel'!$B$90)/'Control Panel'!$B$86</f>
        <v>159.285832700987</v>
      </c>
      <c r="H8" s="48" t="n">
        <f aca="false">(('Unlevered FCF'!E$14/(1+H$4)^1+'Unlevered FCF'!F$14/(1+H$4)^2+'Unlevered FCF'!G$14/(1+H$4)^3+'Unlevered FCF'!H$14/(1+H$4)^4+'Unlevered FCF'!I$14/(1+H$4)^5+'Unlevered FCF'!J$14/(1+H$4)^6)+('Unlevered FCF'!J$14*(1+$A8)/(H$4-$A8))/(1+H$4)^6-'Control Panel'!$B$85-'Control Panel'!$B$87-'Control Panel'!$B$88+'Control Panel'!$B$89+'Control Panel'!$B$90)/'Control Panel'!$B$86</f>
        <v>148.28867320335</v>
      </c>
    </row>
    <row r="9" customFormat="false" ht="15" hidden="false" customHeight="true" outlineLevel="0" collapsed="false">
      <c r="A9" s="84" t="n">
        <v>0.035</v>
      </c>
      <c r="B9" s="48" t="n">
        <f aca="false">(('Unlevered FCF'!E$14/(1+B$4)^1+'Unlevered FCF'!F$14/(1+B$4)^2+'Unlevered FCF'!G$14/(1+B$4)^3+'Unlevered FCF'!H$14/(1+B$4)^4+'Unlevered FCF'!I$14/(1+B$4)^5+'Unlevered FCF'!J$14/(1+B$4)^6)+('Unlevered FCF'!J$14*(1+$A9)/(B$4-$A9))/(1+B$4)^6-'Control Panel'!$B$85-'Control Panel'!$B$87-'Control Panel'!$B$88+'Control Panel'!$B$89+'Control Panel'!$B$90)/'Control Panel'!$B$86</f>
        <v>277.287134272694</v>
      </c>
      <c r="C9" s="48" t="n">
        <f aca="false">(('Unlevered FCF'!E$14/(1+C$4)^1+'Unlevered FCF'!F$14/(1+C$4)^2+'Unlevered FCF'!G$14/(1+C$4)^3+'Unlevered FCF'!H$14/(1+C$4)^4+'Unlevered FCF'!I$14/(1+C$4)^5+'Unlevered FCF'!J$14/(1+C$4)^6)+('Unlevered FCF'!J$14*(1+$A9)/(C$4-$A9))/(1+C$4)^6-'Control Panel'!$B$85-'Control Panel'!$B$87-'Control Panel'!$B$88+'Control Panel'!$B$89+'Control Panel'!$B$90)/'Control Panel'!$B$86</f>
        <v>245.823386713635</v>
      </c>
      <c r="D9" s="48" t="n">
        <f aca="false">(('Unlevered FCF'!E$14/(1+D$4)^1+'Unlevered FCF'!F$14/(1+D$4)^2+'Unlevered FCF'!G$14/(1+D$4)^3+'Unlevered FCF'!H$14/(1+D$4)^4+'Unlevered FCF'!I$14/(1+D$4)^5+'Unlevered FCF'!J$14/(1+D$4)^6)+('Unlevered FCF'!J$14*(1+$A9)/(D$4-$A9))/(1+D$4)^6-'Control Panel'!$B$85-'Control Panel'!$B$87-'Control Panel'!$B$88+'Control Panel'!$B$89+'Control Panel'!$B$90)/'Control Panel'!$B$86</f>
        <v>220.667739524048</v>
      </c>
      <c r="E9" s="48" t="n">
        <f aca="false">(('Unlevered FCF'!E$14/(1+E$4)^1+'Unlevered FCF'!F$14/(1+E$4)^2+'Unlevered FCF'!G$14/(1+E$4)^3+'Unlevered FCF'!H$14/(1+E$4)^4+'Unlevered FCF'!I$14/(1+E$4)^5+'Unlevered FCF'!J$14/(1+E$4)^6)+('Unlevered FCF'!J$14*(1+$A9)/(E$4-$A9))/(1+E$4)^6-'Control Panel'!$B$85-'Control Panel'!$B$87-'Control Panel'!$B$88+'Control Panel'!$B$89+'Control Panel'!$B$90)/'Control Panel'!$B$86</f>
        <v>200.099468776607</v>
      </c>
      <c r="F9" s="48" t="n">
        <f aca="false">(('Unlevered FCF'!E$14/(1+F$4)^1+'Unlevered FCF'!F$14/(1+F$4)^2+'Unlevered FCF'!G$14/(1+F$4)^3+'Unlevered FCF'!H$14/(1+F$4)^4+'Unlevered FCF'!I$14/(1+F$4)^5+'Unlevered FCF'!J$14/(1+F$4)^6)+('Unlevered FCF'!J$14*(1+$A9)/(F$4-$A9))/(1+F$4)^6-'Control Panel'!$B$85-'Control Panel'!$B$87-'Control Panel'!$B$88+'Control Panel'!$B$89+'Control Panel'!$B$90)/'Control Panel'!$B$86</f>
        <v>182.97143416184</v>
      </c>
      <c r="G9" s="48" t="n">
        <f aca="false">(('Unlevered FCF'!E$14/(1+G$4)^1+'Unlevered FCF'!F$14/(1+G$4)^2+'Unlevered FCF'!G$14/(1+G$4)^3+'Unlevered FCF'!H$14/(1+G$4)^4+'Unlevered FCF'!I$14/(1+G$4)^5+'Unlevered FCF'!J$14/(1+G$4)^6)+('Unlevered FCF'!J$14*(1+$A9)/(G$4-$A9))/(1+G$4)^6-'Control Panel'!$B$85-'Control Panel'!$B$87-'Control Panel'!$B$88+'Control Panel'!$B$89+'Control Panel'!$B$90)/'Control Panel'!$B$86</f>
        <v>168.489469617688</v>
      </c>
      <c r="H9" s="48" t="n">
        <f aca="false">(('Unlevered FCF'!E$14/(1+H$4)^1+'Unlevered FCF'!F$14/(1+H$4)^2+'Unlevered FCF'!G$14/(1+H$4)^3+'Unlevered FCF'!H$14/(1+H$4)^4+'Unlevered FCF'!I$14/(1+H$4)^5+'Unlevered FCF'!J$14/(1+H$4)^6)+('Unlevered FCF'!J$14*(1+$A9)/(H$4-$A9))/(1+H$4)^6-'Control Panel'!$B$85-'Control Panel'!$B$87-'Control Panel'!$B$88+'Control Panel'!$B$89+'Control Panel'!$B$90)/'Control Panel'!$B$86</f>
        <v>156.086320842636</v>
      </c>
    </row>
    <row r="12" customFormat="false" ht="15" hidden="false" customHeight="true" outlineLevel="0" collapsed="false">
      <c r="A12" s="40" t="s">
        <v>277</v>
      </c>
      <c r="B12" s="40"/>
      <c r="C12" s="40"/>
      <c r="D12" s="40"/>
      <c r="E12" s="40"/>
      <c r="F12" s="40"/>
      <c r="G12" s="40"/>
      <c r="H12" s="40"/>
    </row>
    <row r="13" customFormat="false" ht="15" hidden="false" customHeight="true" outlineLevel="0" collapsed="false">
      <c r="A13" s="56" t="s">
        <v>167</v>
      </c>
      <c r="B13" s="85" t="n">
        <v>0.075</v>
      </c>
      <c r="C13" s="85" t="n">
        <v>0.08</v>
      </c>
      <c r="D13" s="85" t="n">
        <v>0.085</v>
      </c>
      <c r="E13" s="85" t="n">
        <v>0.09</v>
      </c>
      <c r="F13" s="85" t="n">
        <v>0.095</v>
      </c>
      <c r="G13" s="85" t="n">
        <v>0.1</v>
      </c>
      <c r="H13" s="85" t="n">
        <v>0.105</v>
      </c>
    </row>
    <row r="14" customFormat="false" ht="15" hidden="false" customHeight="true" outlineLevel="0" collapsed="false">
      <c r="A14" s="86" t="n">
        <v>8.5</v>
      </c>
      <c r="B14" s="48" t="n">
        <f aca="false">(('Unlevered FCF'!E$14/(1+B$13)^1+'Unlevered FCF'!F$14/(1+B$13)^2+'Unlevered FCF'!G$14/(1+B$13)^3+'Unlevered FCF'!H$14/(1+B$13)^4+'Unlevered FCF'!I$14/(1+B$13)^5+'Unlevered FCF'!J$14/(1+B$13)^6)+('Margin Cost Build'!J$12*$A14)/(1+B$13)^6-'Control Panel'!$B$85-'Control Panel'!$B$87-'Control Panel'!$B$88+'Control Panel'!$B$89+'Control Panel'!$B$90)/'Control Panel'!$B$86</f>
        <v>148.912327711582</v>
      </c>
      <c r="C14" s="48" t="n">
        <f aca="false">(('Unlevered FCF'!E$14/(1+C$13)^1+'Unlevered FCF'!F$14/(1+C$13)^2+'Unlevered FCF'!G$14/(1+C$13)^3+'Unlevered FCF'!H$14/(1+C$13)^4+'Unlevered FCF'!I$14/(1+C$13)^5+'Unlevered FCF'!J$14/(1+C$13)^6)+('Margin Cost Build'!J$12*$A14)/(1+C$13)^6-'Control Panel'!$B$85-'Control Panel'!$B$87-'Control Panel'!$B$88+'Control Panel'!$B$89+'Control Panel'!$B$90)/'Control Panel'!$B$86</f>
        <v>145.411187755506</v>
      </c>
      <c r="D14" s="48" t="n">
        <f aca="false">(('Unlevered FCF'!E$14/(1+D$13)^1+'Unlevered FCF'!F$14/(1+D$13)^2+'Unlevered FCF'!G$14/(1+D$13)^3+'Unlevered FCF'!H$14/(1+D$13)^4+'Unlevered FCF'!I$14/(1+D$13)^5+'Unlevered FCF'!J$14/(1+D$13)^6)+('Margin Cost Build'!J$12*$A14)/(1+D$13)^6-'Control Panel'!$B$85-'Control Panel'!$B$87-'Control Panel'!$B$88+'Control Panel'!$B$89+'Control Panel'!$B$90)/'Control Panel'!$B$86</f>
        <v>142.015885364531</v>
      </c>
      <c r="E14" s="48" t="n">
        <f aca="false">(('Unlevered FCF'!E$14/(1+E$13)^1+'Unlevered FCF'!F$14/(1+E$13)^2+'Unlevered FCF'!G$14/(1+E$13)^3+'Unlevered FCF'!H$14/(1+E$13)^4+'Unlevered FCF'!I$14/(1+E$13)^5+'Unlevered FCF'!J$14/(1+E$13)^6)+('Margin Cost Build'!J$12*$A14)/(1+E$13)^6-'Control Panel'!$B$85-'Control Panel'!$B$87-'Control Panel'!$B$88+'Control Panel'!$B$89+'Control Panel'!$B$90)/'Control Panel'!$B$86</f>
        <v>138.722689896183</v>
      </c>
      <c r="F14" s="48" t="n">
        <f aca="false">(('Unlevered FCF'!E$14/(1+F$13)^1+'Unlevered FCF'!F$14/(1+F$13)^2+'Unlevered FCF'!G$14/(1+F$13)^3+'Unlevered FCF'!H$14/(1+F$13)^4+'Unlevered FCF'!I$14/(1+F$13)^5+'Unlevered FCF'!J$14/(1+F$13)^6)+('Margin Cost Build'!J$12*$A14)/(1+F$13)^6-'Control Panel'!$B$85-'Control Panel'!$B$87-'Control Panel'!$B$88+'Control Panel'!$B$89+'Control Panel'!$B$90)/'Control Panel'!$B$86</f>
        <v>135.528019569048</v>
      </c>
      <c r="G14" s="48" t="n">
        <f aca="false">(('Unlevered FCF'!E$14/(1+G$13)^1+'Unlevered FCF'!F$14/(1+G$13)^2+'Unlevered FCF'!G$14/(1+G$13)^3+'Unlevered FCF'!H$14/(1+G$13)^4+'Unlevered FCF'!I$14/(1+G$13)^5+'Unlevered FCF'!J$14/(1+G$13)^6)+('Margin Cost Build'!J$12*$A14)/(1+G$13)^6-'Control Panel'!$B$85-'Control Panel'!$B$87-'Control Panel'!$B$88+'Control Panel'!$B$89+'Control Panel'!$B$90)/'Control Panel'!$B$86</f>
        <v>132.428434855242</v>
      </c>
      <c r="H14" s="48" t="n">
        <f aca="false">(('Unlevered FCF'!E$14/(1+H$13)^1+'Unlevered FCF'!F$14/(1+H$13)^2+'Unlevered FCF'!G$14/(1+H$13)^3+'Unlevered FCF'!H$14/(1+H$13)^4+'Unlevered FCF'!I$14/(1+H$13)^5+'Unlevered FCF'!J$14/(1+H$13)^6)+('Margin Cost Build'!J$12*$A14)/(1+H$13)^6-'Control Panel'!$B$85-'Control Panel'!$B$87-'Control Panel'!$B$88+'Control Panel'!$B$89+'Control Panel'!$B$90)/'Control Panel'!$B$86</f>
        <v>129.420632195142</v>
      </c>
    </row>
    <row r="15" customFormat="false" ht="15" hidden="false" customHeight="true" outlineLevel="0" collapsed="false">
      <c r="A15" s="86" t="n">
        <v>9.5</v>
      </c>
      <c r="B15" s="48" t="n">
        <f aca="false">(('Unlevered FCF'!E$14/(1+B$13)^1+'Unlevered FCF'!F$14/(1+B$13)^2+'Unlevered FCF'!G$14/(1+B$13)^3+'Unlevered FCF'!H$14/(1+B$13)^4+'Unlevered FCF'!I$14/(1+B$13)^5+'Unlevered FCF'!J$14/(1+B$13)^6)+('Margin Cost Build'!J$12*$A15)/(1+B$13)^6-'Control Panel'!$B$85-'Control Panel'!$B$87-'Control Panel'!$B$88+'Control Panel'!$B$89+'Control Panel'!$B$90)/'Control Panel'!$B$86</f>
        <v>160.415124792749</v>
      </c>
      <c r="C15" s="48" t="n">
        <f aca="false">(('Unlevered FCF'!E$14/(1+C$13)^1+'Unlevered FCF'!F$14/(1+C$13)^2+'Unlevered FCF'!G$14/(1+C$13)^3+'Unlevered FCF'!H$14/(1+C$13)^4+'Unlevered FCF'!I$14/(1+C$13)^5+'Unlevered FCF'!J$14/(1+C$13)^6)+('Margin Cost Build'!J$12*$A15)/(1+C$13)^6-'Control Panel'!$B$85-'Control Panel'!$B$87-'Control Panel'!$B$88+'Control Panel'!$B$89+'Control Panel'!$B$90)/'Control Panel'!$B$86</f>
        <v>156.59813811935</v>
      </c>
      <c r="D15" s="48" t="n">
        <f aca="false">(('Unlevered FCF'!E$14/(1+D$13)^1+'Unlevered FCF'!F$14/(1+D$13)^2+'Unlevered FCF'!G$14/(1+D$13)^3+'Unlevered FCF'!H$14/(1+D$13)^4+'Unlevered FCF'!I$14/(1+D$13)^5+'Unlevered FCF'!J$14/(1+D$13)^6)+('Margin Cost Build'!J$12*$A15)/(1+D$13)^6-'Control Panel'!$B$85-'Control Panel'!$B$87-'Control Panel'!$B$88+'Control Panel'!$B$89+'Control Panel'!$B$90)/'Control Panel'!$B$86</f>
        <v>152.897060863403</v>
      </c>
      <c r="E15" s="48" t="n">
        <f aca="false">(('Unlevered FCF'!E$14/(1+E$13)^1+'Unlevered FCF'!F$14/(1+E$13)^2+'Unlevered FCF'!G$14/(1+E$13)^3+'Unlevered FCF'!H$14/(1+E$13)^4+'Unlevered FCF'!I$14/(1+E$13)^5+'Unlevered FCF'!J$14/(1+E$13)^6)+('Margin Cost Build'!J$12*$A15)/(1+E$13)^6-'Control Panel'!$B$85-'Control Panel'!$B$87-'Control Panel'!$B$88+'Control Panel'!$B$89+'Control Panel'!$B$90)/'Control Panel'!$B$86</f>
        <v>149.307796992461</v>
      </c>
      <c r="F15" s="48" t="n">
        <f aca="false">(('Unlevered FCF'!E$14/(1+F$13)^1+'Unlevered FCF'!F$14/(1+F$13)^2+'Unlevered FCF'!G$14/(1+F$13)^3+'Unlevered FCF'!H$14/(1+F$13)^4+'Unlevered FCF'!I$14/(1+F$13)^5+'Unlevered FCF'!J$14/(1+F$13)^6)+('Margin Cost Build'!J$12*$A15)/(1+F$13)^6-'Control Panel'!$B$85-'Control Panel'!$B$87-'Control Panel'!$B$88+'Control Panel'!$B$89+'Control Panel'!$B$90)/'Control Panel'!$B$86</f>
        <v>145.82641418039</v>
      </c>
      <c r="G15" s="48" t="n">
        <f aca="false">(('Unlevered FCF'!E$14/(1+G$13)^1+'Unlevered FCF'!F$14/(1+G$13)^2+'Unlevered FCF'!G$14/(1+G$13)^3+'Unlevered FCF'!H$14/(1+G$13)^4+'Unlevered FCF'!I$14/(1+G$13)^5+'Unlevered FCF'!J$14/(1+G$13)^6)+('Margin Cost Build'!J$12*$A15)/(1+G$13)^6-'Control Panel'!$B$85-'Control Panel'!$B$87-'Control Panel'!$B$88+'Control Panel'!$B$89+'Control Panel'!$B$90)/'Control Panel'!$B$86</f>
        <v>142.449136532707</v>
      </c>
      <c r="H15" s="48" t="n">
        <f aca="false">(('Unlevered FCF'!E$14/(1+H$13)^1+'Unlevered FCF'!F$14/(1+H$13)^2+'Unlevered FCF'!G$14/(1+H$13)^3+'Unlevered FCF'!H$14/(1+H$13)^4+'Unlevered FCF'!I$14/(1+H$13)^5+'Unlevered FCF'!J$14/(1+H$13)^6)+('Margin Cost Build'!J$12*$A15)/(1+H$13)^6-'Control Panel'!$B$85-'Control Panel'!$B$87-'Control Panel'!$B$88+'Control Panel'!$B$89+'Control Panel'!$B$90)/'Control Panel'!$B$86</f>
        <v>139.172337667002</v>
      </c>
    </row>
    <row r="16" customFormat="false" ht="15" hidden="false" customHeight="true" outlineLevel="0" collapsed="false">
      <c r="A16" s="86" t="n">
        <v>10.5</v>
      </c>
      <c r="B16" s="48" t="n">
        <f aca="false">(('Unlevered FCF'!E$14/(1+B$13)^1+'Unlevered FCF'!F$14/(1+B$13)^2+'Unlevered FCF'!G$14/(1+B$13)^3+'Unlevered FCF'!H$14/(1+B$13)^4+'Unlevered FCF'!I$14/(1+B$13)^5+'Unlevered FCF'!J$14/(1+B$13)^6)+('Margin Cost Build'!J$12*$A16)/(1+B$13)^6-'Control Panel'!$B$85-'Control Panel'!$B$87-'Control Panel'!$B$88+'Control Panel'!$B$89+'Control Panel'!$B$90)/'Control Panel'!$B$86</f>
        <v>171.917921873916</v>
      </c>
      <c r="C16" s="48" t="n">
        <f aca="false">(('Unlevered FCF'!E$14/(1+C$13)^1+'Unlevered FCF'!F$14/(1+C$13)^2+'Unlevered FCF'!G$14/(1+C$13)^3+'Unlevered FCF'!H$14/(1+C$13)^4+'Unlevered FCF'!I$14/(1+C$13)^5+'Unlevered FCF'!J$14/(1+C$13)^6)+('Margin Cost Build'!J$12*$A16)/(1+C$13)^6-'Control Panel'!$B$85-'Control Panel'!$B$87-'Control Panel'!$B$88+'Control Panel'!$B$89+'Control Panel'!$B$90)/'Control Panel'!$B$86</f>
        <v>167.785088483193</v>
      </c>
      <c r="D16" s="48" t="n">
        <f aca="false">(('Unlevered FCF'!E$14/(1+D$13)^1+'Unlevered FCF'!F$14/(1+D$13)^2+'Unlevered FCF'!G$14/(1+D$13)^3+'Unlevered FCF'!H$14/(1+D$13)^4+'Unlevered FCF'!I$14/(1+D$13)^5+'Unlevered FCF'!J$14/(1+D$13)^6)+('Margin Cost Build'!J$12*$A16)/(1+D$13)^6-'Control Panel'!$B$85-'Control Panel'!$B$87-'Control Panel'!$B$88+'Control Panel'!$B$89+'Control Panel'!$B$90)/'Control Panel'!$B$86</f>
        <v>163.778236362276</v>
      </c>
      <c r="E16" s="48" t="n">
        <f aca="false">(('Unlevered FCF'!E$14/(1+E$13)^1+'Unlevered FCF'!F$14/(1+E$13)^2+'Unlevered FCF'!G$14/(1+E$13)^3+'Unlevered FCF'!H$14/(1+E$13)^4+'Unlevered FCF'!I$14/(1+E$13)^5+'Unlevered FCF'!J$14/(1+E$13)^6)+('Margin Cost Build'!J$12*$A16)/(1+E$13)^6-'Control Panel'!$B$85-'Control Panel'!$B$87-'Control Panel'!$B$88+'Control Panel'!$B$89+'Control Panel'!$B$90)/'Control Panel'!$B$86</f>
        <v>159.892904088739</v>
      </c>
      <c r="F16" s="48" t="n">
        <f aca="false">(('Unlevered FCF'!E$14/(1+F$13)^1+'Unlevered FCF'!F$14/(1+F$13)^2+'Unlevered FCF'!G$14/(1+F$13)^3+'Unlevered FCF'!H$14/(1+F$13)^4+'Unlevered FCF'!I$14/(1+F$13)^5+'Unlevered FCF'!J$14/(1+F$13)^6)+('Margin Cost Build'!J$12*$A16)/(1+F$13)^6-'Control Panel'!$B$85-'Control Panel'!$B$87-'Control Panel'!$B$88+'Control Panel'!$B$89+'Control Panel'!$B$90)/'Control Panel'!$B$86</f>
        <v>156.124808791732</v>
      </c>
      <c r="G16" s="48" t="n">
        <f aca="false">(('Unlevered FCF'!E$14/(1+G$13)^1+'Unlevered FCF'!F$14/(1+G$13)^2+'Unlevered FCF'!G$14/(1+G$13)^3+'Unlevered FCF'!H$14/(1+G$13)^4+'Unlevered FCF'!I$14/(1+G$13)^5+'Unlevered FCF'!J$14/(1+G$13)^6)+('Margin Cost Build'!J$12*$A16)/(1+G$13)^6-'Control Panel'!$B$85-'Control Panel'!$B$87-'Control Panel'!$B$88+'Control Panel'!$B$89+'Control Panel'!$B$90)/'Control Panel'!$B$86</f>
        <v>152.469838210173</v>
      </c>
      <c r="H16" s="48" t="n">
        <f aca="false">(('Unlevered FCF'!E$14/(1+H$13)^1+'Unlevered FCF'!F$14/(1+H$13)^2+'Unlevered FCF'!G$14/(1+H$13)^3+'Unlevered FCF'!H$14/(1+H$13)^4+'Unlevered FCF'!I$14/(1+H$13)^5+'Unlevered FCF'!J$14/(1+H$13)^6)+('Margin Cost Build'!J$12*$A16)/(1+H$13)^6-'Control Panel'!$B$85-'Control Panel'!$B$87-'Control Panel'!$B$88+'Control Panel'!$B$89+'Control Panel'!$B$90)/'Control Panel'!$B$86</f>
        <v>148.924043138861</v>
      </c>
    </row>
    <row r="17" customFormat="false" ht="15" hidden="false" customHeight="true" outlineLevel="0" collapsed="false">
      <c r="A17" s="86" t="n">
        <v>11.5</v>
      </c>
      <c r="B17" s="48" t="n">
        <f aca="false">(('Unlevered FCF'!E$14/(1+B$13)^1+'Unlevered FCF'!F$14/(1+B$13)^2+'Unlevered FCF'!G$14/(1+B$13)^3+'Unlevered FCF'!H$14/(1+B$13)^4+'Unlevered FCF'!I$14/(1+B$13)^5+'Unlevered FCF'!J$14/(1+B$13)^6)+('Margin Cost Build'!J$12*$A17)/(1+B$13)^6-'Control Panel'!$B$85-'Control Panel'!$B$87-'Control Panel'!$B$88+'Control Panel'!$B$89+'Control Panel'!$B$90)/'Control Panel'!$B$86</f>
        <v>183.420718955082</v>
      </c>
      <c r="C17" s="48" t="n">
        <f aca="false">(('Unlevered FCF'!E$14/(1+C$13)^1+'Unlevered FCF'!F$14/(1+C$13)^2+'Unlevered FCF'!G$14/(1+C$13)^3+'Unlevered FCF'!H$14/(1+C$13)^4+'Unlevered FCF'!I$14/(1+C$13)^5+'Unlevered FCF'!J$14/(1+C$13)^6)+('Margin Cost Build'!J$12*$A17)/(1+C$13)^6-'Control Panel'!$B$85-'Control Panel'!$B$87-'Control Panel'!$B$88+'Control Panel'!$B$89+'Control Panel'!$B$90)/'Control Panel'!$B$86</f>
        <v>178.972038847036</v>
      </c>
      <c r="D17" s="48" t="n">
        <f aca="false">(('Unlevered FCF'!E$14/(1+D$13)^1+'Unlevered FCF'!F$14/(1+D$13)^2+'Unlevered FCF'!G$14/(1+D$13)^3+'Unlevered FCF'!H$14/(1+D$13)^4+'Unlevered FCF'!I$14/(1+D$13)^5+'Unlevered FCF'!J$14/(1+D$13)^6)+('Margin Cost Build'!J$12*$A17)/(1+D$13)^6-'Control Panel'!$B$85-'Control Panel'!$B$87-'Control Panel'!$B$88+'Control Panel'!$B$89+'Control Panel'!$B$90)/'Control Panel'!$B$86</f>
        <v>174.659411861148</v>
      </c>
      <c r="E17" s="48" t="n">
        <f aca="false">(('Unlevered FCF'!E$14/(1+E$13)^1+'Unlevered FCF'!F$14/(1+E$13)^2+'Unlevered FCF'!G$14/(1+E$13)^3+'Unlevered FCF'!H$14/(1+E$13)^4+'Unlevered FCF'!I$14/(1+E$13)^5+'Unlevered FCF'!J$14/(1+E$13)^6)+('Margin Cost Build'!J$12*$A17)/(1+E$13)^6-'Control Panel'!$B$85-'Control Panel'!$B$87-'Control Panel'!$B$88+'Control Panel'!$B$89+'Control Panel'!$B$90)/'Control Panel'!$B$86</f>
        <v>170.478011185018</v>
      </c>
      <c r="F17" s="48" t="n">
        <f aca="false">(('Unlevered FCF'!E$14/(1+F$13)^1+'Unlevered FCF'!F$14/(1+F$13)^2+'Unlevered FCF'!G$14/(1+F$13)^3+'Unlevered FCF'!H$14/(1+F$13)^4+'Unlevered FCF'!I$14/(1+F$13)^5+'Unlevered FCF'!J$14/(1+F$13)^6)+('Margin Cost Build'!J$12*$A17)/(1+F$13)^6-'Control Panel'!$B$85-'Control Panel'!$B$87-'Control Panel'!$B$88+'Control Panel'!$B$89+'Control Panel'!$B$90)/'Control Panel'!$B$86</f>
        <v>166.423203403074</v>
      </c>
      <c r="G17" s="48" t="n">
        <f aca="false">(('Unlevered FCF'!E$14/(1+G$13)^1+'Unlevered FCF'!F$14/(1+G$13)^2+'Unlevered FCF'!G$14/(1+G$13)^3+'Unlevered FCF'!H$14/(1+G$13)^4+'Unlevered FCF'!I$14/(1+G$13)^5+'Unlevered FCF'!J$14/(1+G$13)^6)+('Margin Cost Build'!J$12*$A17)/(1+G$13)^6-'Control Panel'!$B$85-'Control Panel'!$B$87-'Control Panel'!$B$88+'Control Panel'!$B$89+'Control Panel'!$B$90)/'Control Panel'!$B$86</f>
        <v>162.490539887638</v>
      </c>
      <c r="H17" s="48" t="n">
        <f aca="false">(('Unlevered FCF'!E$14/(1+H$13)^1+'Unlevered FCF'!F$14/(1+H$13)^2+'Unlevered FCF'!G$14/(1+H$13)^3+'Unlevered FCF'!H$14/(1+H$13)^4+'Unlevered FCF'!I$14/(1+H$13)^5+'Unlevered FCF'!J$14/(1+H$13)^6)+('Margin Cost Build'!J$12*$A17)/(1+H$13)^6-'Control Panel'!$B$85-'Control Panel'!$B$87-'Control Panel'!$B$88+'Control Panel'!$B$89+'Control Panel'!$B$90)/'Control Panel'!$B$86</f>
        <v>158.67574861072</v>
      </c>
    </row>
    <row r="18" customFormat="false" ht="15" hidden="false" customHeight="true" outlineLevel="0" collapsed="false">
      <c r="A18" s="86" t="n">
        <v>12.5</v>
      </c>
      <c r="B18" s="48" t="n">
        <f aca="false">(('Unlevered FCF'!E$14/(1+B$13)^1+'Unlevered FCF'!F$14/(1+B$13)^2+'Unlevered FCF'!G$14/(1+B$13)^3+'Unlevered FCF'!H$14/(1+B$13)^4+'Unlevered FCF'!I$14/(1+B$13)^5+'Unlevered FCF'!J$14/(1+B$13)^6)+('Margin Cost Build'!J$12*$A18)/(1+B$13)^6-'Control Panel'!$B$85-'Control Panel'!$B$87-'Control Panel'!$B$88+'Control Panel'!$B$89+'Control Panel'!$B$90)/'Control Panel'!$B$86</f>
        <v>194.923516036249</v>
      </c>
      <c r="C18" s="48" t="n">
        <f aca="false">(('Unlevered FCF'!E$14/(1+C$13)^1+'Unlevered FCF'!F$14/(1+C$13)^2+'Unlevered FCF'!G$14/(1+C$13)^3+'Unlevered FCF'!H$14/(1+C$13)^4+'Unlevered FCF'!I$14/(1+C$13)^5+'Unlevered FCF'!J$14/(1+C$13)^6)+('Margin Cost Build'!J$12*$A18)/(1+C$13)^6-'Control Panel'!$B$85-'Control Panel'!$B$87-'Control Panel'!$B$88+'Control Panel'!$B$89+'Control Panel'!$B$90)/'Control Panel'!$B$86</f>
        <v>190.158989210879</v>
      </c>
      <c r="D18" s="48" t="n">
        <f aca="false">(('Unlevered FCF'!E$14/(1+D$13)^1+'Unlevered FCF'!F$14/(1+D$13)^2+'Unlevered FCF'!G$14/(1+D$13)^3+'Unlevered FCF'!H$14/(1+D$13)^4+'Unlevered FCF'!I$14/(1+D$13)^5+'Unlevered FCF'!J$14/(1+D$13)^6)+('Margin Cost Build'!J$12*$A18)/(1+D$13)^6-'Control Panel'!$B$85-'Control Panel'!$B$87-'Control Panel'!$B$88+'Control Panel'!$B$89+'Control Panel'!$B$90)/'Control Panel'!$B$86</f>
        <v>185.540587360021</v>
      </c>
      <c r="E18" s="48" t="n">
        <f aca="false">(('Unlevered FCF'!E$14/(1+E$13)^1+'Unlevered FCF'!F$14/(1+E$13)^2+'Unlevered FCF'!G$14/(1+E$13)^3+'Unlevered FCF'!H$14/(1+E$13)^4+'Unlevered FCF'!I$14/(1+E$13)^5+'Unlevered FCF'!J$14/(1+E$13)^6)+('Margin Cost Build'!J$12*$A18)/(1+E$13)^6-'Control Panel'!$B$85-'Control Panel'!$B$87-'Control Panel'!$B$88+'Control Panel'!$B$89+'Control Panel'!$B$90)/'Control Panel'!$B$86</f>
        <v>181.063118281296</v>
      </c>
      <c r="F18" s="48" t="n">
        <f aca="false">(('Unlevered FCF'!E$14/(1+F$13)^1+'Unlevered FCF'!F$14/(1+F$13)^2+'Unlevered FCF'!G$14/(1+F$13)^3+'Unlevered FCF'!H$14/(1+F$13)^4+'Unlevered FCF'!I$14/(1+F$13)^5+'Unlevered FCF'!J$14/(1+F$13)^6)+('Margin Cost Build'!J$12*$A18)/(1+F$13)^6-'Control Panel'!$B$85-'Control Panel'!$B$87-'Control Panel'!$B$88+'Control Panel'!$B$89+'Control Panel'!$B$90)/'Control Panel'!$B$86</f>
        <v>176.721598014416</v>
      </c>
      <c r="G18" s="48" t="n">
        <f aca="false">(('Unlevered FCF'!E$14/(1+G$13)^1+'Unlevered FCF'!F$14/(1+G$13)^2+'Unlevered FCF'!G$14/(1+G$13)^3+'Unlevered FCF'!H$14/(1+G$13)^4+'Unlevered FCF'!I$14/(1+G$13)^5+'Unlevered FCF'!J$14/(1+G$13)^6)+('Margin Cost Build'!J$12*$A18)/(1+G$13)^6-'Control Panel'!$B$85-'Control Panel'!$B$87-'Control Panel'!$B$88+'Control Panel'!$B$89+'Control Panel'!$B$90)/'Control Panel'!$B$86</f>
        <v>172.511241565103</v>
      </c>
      <c r="H18" s="48" t="n">
        <f aca="false">(('Unlevered FCF'!E$14/(1+H$13)^1+'Unlevered FCF'!F$14/(1+H$13)^2+'Unlevered FCF'!G$14/(1+H$13)^3+'Unlevered FCF'!H$14/(1+H$13)^4+'Unlevered FCF'!I$14/(1+H$13)^5+'Unlevered FCF'!J$14/(1+H$13)^6)+('Margin Cost Build'!J$12*$A18)/(1+H$13)^6-'Control Panel'!$B$85-'Control Panel'!$B$87-'Control Panel'!$B$88+'Control Panel'!$B$89+'Control Panel'!$B$90)/'Control Panel'!$B$86</f>
        <v>168.427454082579</v>
      </c>
    </row>
    <row r="21" customFormat="false" ht="15" hidden="false" customHeight="true" outlineLevel="0" collapsed="false">
      <c r="A21" s="40" t="s">
        <v>278</v>
      </c>
      <c r="B21" s="40"/>
      <c r="C21" s="40"/>
      <c r="D21" s="40"/>
      <c r="E21" s="40"/>
      <c r="F21" s="40"/>
      <c r="G21" s="40"/>
      <c r="H21" s="40"/>
    </row>
    <row r="22" customFormat="false" ht="15" hidden="false" customHeight="true" outlineLevel="0" collapsed="false">
      <c r="A22" s="56" t="s">
        <v>184</v>
      </c>
      <c r="B22" s="85" t="n">
        <v>0.04</v>
      </c>
      <c r="C22" s="85" t="n">
        <v>0.06</v>
      </c>
      <c r="D22" s="85" t="n">
        <v>0.08</v>
      </c>
      <c r="E22" s="85" t="n">
        <v>0.1</v>
      </c>
      <c r="F22" s="85" t="n">
        <v>0.12</v>
      </c>
      <c r="G22" s="85" t="n">
        <v>0.14</v>
      </c>
      <c r="H22" s="85" t="n">
        <v>0.16</v>
      </c>
    </row>
    <row r="23" customFormat="false" ht="15" hidden="false" customHeight="true" outlineLevel="0" collapsed="false">
      <c r="A23" s="84" t="n">
        <v>0.23</v>
      </c>
      <c r="B23" s="47" t="n">
        <f aca="false">SUM('Unlevered FCF'!$E$17:$J$17)+(('Revenue Build'!$D$14*(1+B$22)^6)*$A23*'Control Panel'!$B$84)/(1+'Control Panel'!$B$78)^6</f>
        <v>2122776.69641454</v>
      </c>
      <c r="C23" s="47" t="n">
        <f aca="false">SUM('Unlevered FCF'!$E$17:$J$17)+(('Revenue Build'!$D$14*(1+C$22)^6)*$A23*'Control Panel'!$B$84)/(1+'Control Panel'!$B$78)^6</f>
        <v>2244542.99745915</v>
      </c>
      <c r="D23" s="47" t="n">
        <f aca="false">SUM('Unlevered FCF'!$E$17:$J$17)+(('Revenue Build'!$D$14*(1+D$22)^6)*$A23*'Control Panel'!$B$84)/(1+'Control Panel'!$B$78)^6</f>
        <v>2378354.86900526</v>
      </c>
      <c r="E23" s="47" t="n">
        <f aca="false">SUM('Unlevered FCF'!$E$17:$J$17)+(('Revenue Build'!$D$14*(1+E$22)^6)*$A23*'Control Panel'!$B$84)/(1+'Control Panel'!$B$78)^6</f>
        <v>2525147.29559842</v>
      </c>
      <c r="F23" s="47" t="n">
        <f aca="false">SUM('Unlevered FCF'!$E$17:$J$17)+(('Revenue Build'!$D$14*(1+F$22)^6)*$A23*'Control Panel'!$B$84)/(1+'Control Panel'!$B$78)^6</f>
        <v>2685908.66749738</v>
      </c>
      <c r="G23" s="47" t="n">
        <f aca="false">SUM('Unlevered FCF'!$E$17:$J$17)+(('Revenue Build'!$D$14*(1+G$22)^6)*$A23*'Control Panel'!$B$84)/(1+'Control Panel'!$B$78)^6</f>
        <v>2861682.77674995</v>
      </c>
      <c r="H23" s="47" t="n">
        <f aca="false">SUM('Unlevered FCF'!$E$17:$J$17)+(('Revenue Build'!$D$14*(1+H$22)^6)*$A23*'Control Panel'!$B$84)/(1+'Control Panel'!$B$78)^6</f>
        <v>3053570.84989421</v>
      </c>
    </row>
    <row r="24" customFormat="false" ht="15" hidden="false" customHeight="true" outlineLevel="0" collapsed="false">
      <c r="A24" s="84" t="n">
        <v>0.25</v>
      </c>
      <c r="B24" s="47" t="n">
        <f aca="false">SUM('Unlevered FCF'!$E$17:$J$17)+(('Revenue Build'!$D$14*(1+B$22)^6)*$A24*'Control Panel'!$B$84)/(1+'Control Panel'!$B$78)^6</f>
        <v>2210228.80348078</v>
      </c>
      <c r="C24" s="47" t="n">
        <f aca="false">SUM('Unlevered FCF'!$E$17:$J$17)+(('Revenue Build'!$D$14*(1+C$22)^6)*$A24*'Control Panel'!$B$84)/(1+'Control Panel'!$B$78)^6</f>
        <v>2342583.47852927</v>
      </c>
      <c r="D24" s="47" t="n">
        <f aca="false">SUM('Unlevered FCF'!$E$17:$J$17)+(('Revenue Build'!$D$14*(1+D$22)^6)*$A24*'Control Panel'!$B$84)/(1+'Control Panel'!$B$78)^6</f>
        <v>2488031.16499243</v>
      </c>
      <c r="E24" s="47" t="n">
        <f aca="false">SUM('Unlevered FCF'!$E$17:$J$17)+(('Revenue Build'!$D$14*(1+E$22)^6)*$A24*'Control Panel'!$B$84)/(1+'Control Panel'!$B$78)^6</f>
        <v>2647588.15041978</v>
      </c>
      <c r="F24" s="47" t="n">
        <f aca="false">SUM('Unlevered FCF'!$E$17:$J$17)+(('Revenue Build'!$D$14*(1+F$22)^6)*$A24*'Control Panel'!$B$84)/(1+'Control Panel'!$B$78)^6</f>
        <v>2822328.77204908</v>
      </c>
      <c r="G24" s="47" t="n">
        <f aca="false">SUM('Unlevered FCF'!$E$17:$J$17)+(('Revenue Build'!$D$14*(1+G$22)^6)*$A24*'Control Panel'!$B$84)/(1+'Control Panel'!$B$78)^6</f>
        <v>3013387.58645405</v>
      </c>
      <c r="H24" s="47" t="n">
        <f aca="false">SUM('Unlevered FCF'!$E$17:$J$17)+(('Revenue Build'!$D$14*(1+H$22)^6)*$A24*'Control Panel'!$B$84)/(1+'Control Panel'!$B$78)^6</f>
        <v>3221961.57900216</v>
      </c>
    </row>
    <row r="25" customFormat="false" ht="15" hidden="false" customHeight="true" outlineLevel="0" collapsed="false">
      <c r="A25" s="84" t="n">
        <v>0.27</v>
      </c>
      <c r="B25" s="47" t="n">
        <f aca="false">SUM('Unlevered FCF'!$E$17:$J$17)+(('Revenue Build'!$D$14*(1+B$22)^6)*$A25*'Control Panel'!$B$84)/(1+'Control Panel'!$B$78)^6</f>
        <v>2297680.91054702</v>
      </c>
      <c r="C25" s="47" t="n">
        <f aca="false">SUM('Unlevered FCF'!$E$17:$J$17)+(('Revenue Build'!$D$14*(1+C$22)^6)*$A25*'Control Panel'!$B$84)/(1+'Control Panel'!$B$78)^6</f>
        <v>2440623.95959939</v>
      </c>
      <c r="D25" s="47" t="n">
        <f aca="false">SUM('Unlevered FCF'!$E$17:$J$17)+(('Revenue Build'!$D$14*(1+D$22)^6)*$A25*'Control Panel'!$B$84)/(1+'Control Panel'!$B$78)^6</f>
        <v>2597707.4609796</v>
      </c>
      <c r="E25" s="47" t="n">
        <f aca="false">SUM('Unlevered FCF'!$E$17:$J$17)+(('Revenue Build'!$D$14*(1+E$22)^6)*$A25*'Control Panel'!$B$84)/(1+'Control Panel'!$B$78)^6</f>
        <v>2770029.00524114</v>
      </c>
      <c r="F25" s="47" t="n">
        <f aca="false">SUM('Unlevered FCF'!$E$17:$J$17)+(('Revenue Build'!$D$14*(1+F$22)^6)*$A25*'Control Panel'!$B$84)/(1+'Control Panel'!$B$78)^6</f>
        <v>2958748.87660079</v>
      </c>
      <c r="G25" s="47" t="n">
        <f aca="false">SUM('Unlevered FCF'!$E$17:$J$17)+(('Revenue Build'!$D$14*(1+G$22)^6)*$A25*'Control Panel'!$B$84)/(1+'Control Panel'!$B$78)^6</f>
        <v>3165092.39615815</v>
      </c>
      <c r="H25" s="47" t="n">
        <f aca="false">SUM('Unlevered FCF'!$E$17:$J$17)+(('Revenue Build'!$D$14*(1+H$22)^6)*$A25*'Control Panel'!$B$84)/(1+'Control Panel'!$B$78)^6</f>
        <v>3390352.30811011</v>
      </c>
    </row>
    <row r="26" customFormat="false" ht="15" hidden="false" customHeight="true" outlineLevel="0" collapsed="false">
      <c r="A26" s="84" t="n">
        <v>0.29</v>
      </c>
      <c r="B26" s="47" t="n">
        <f aca="false">SUM('Unlevered FCF'!$E$17:$J$17)+(('Revenue Build'!$D$14*(1+B$22)^6)*$A26*'Control Panel'!$B$84)/(1+'Control Panel'!$B$78)^6</f>
        <v>2385133.01761326</v>
      </c>
      <c r="C26" s="47" t="n">
        <f aca="false">SUM('Unlevered FCF'!$E$17:$J$17)+(('Revenue Build'!$D$14*(1+C$22)^6)*$A26*'Control Panel'!$B$84)/(1+'Control Panel'!$B$78)^6</f>
        <v>2538664.44066951</v>
      </c>
      <c r="D26" s="47" t="n">
        <f aca="false">SUM('Unlevered FCF'!$E$17:$J$17)+(('Revenue Build'!$D$14*(1+D$22)^6)*$A26*'Control Panel'!$B$84)/(1+'Control Panel'!$B$78)^6</f>
        <v>2707383.75696678</v>
      </c>
      <c r="E26" s="47" t="n">
        <f aca="false">SUM('Unlevered FCF'!$E$17:$J$17)+(('Revenue Build'!$D$14*(1+E$22)^6)*$A26*'Control Panel'!$B$84)/(1+'Control Panel'!$B$78)^6</f>
        <v>2892469.8600625</v>
      </c>
      <c r="F26" s="47" t="n">
        <f aca="false">SUM('Unlevered FCF'!$E$17:$J$17)+(('Revenue Build'!$D$14*(1+F$22)^6)*$A26*'Control Panel'!$B$84)/(1+'Control Panel'!$B$78)^6</f>
        <v>3095168.98115249</v>
      </c>
      <c r="G26" s="47" t="n">
        <f aca="false">SUM('Unlevered FCF'!$E$17:$J$17)+(('Revenue Build'!$D$14*(1+G$22)^6)*$A26*'Control Panel'!$B$84)/(1+'Control Panel'!$B$78)^6</f>
        <v>3316797.20586225</v>
      </c>
      <c r="H26" s="47" t="n">
        <f aca="false">SUM('Unlevered FCF'!$E$17:$J$17)+(('Revenue Build'!$D$14*(1+H$22)^6)*$A26*'Control Panel'!$B$84)/(1+'Control Panel'!$B$78)^6</f>
        <v>3558743.03721806</v>
      </c>
    </row>
    <row r="27" customFormat="false" ht="15" hidden="false" customHeight="true" outlineLevel="0" collapsed="false">
      <c r="A27" s="84" t="n">
        <v>0.31</v>
      </c>
      <c r="B27" s="47" t="n">
        <f aca="false">SUM('Unlevered FCF'!$E$17:$J$17)+(('Revenue Build'!$D$14*(1+B$22)^6)*$A27*'Control Panel'!$B$84)/(1+'Control Panel'!$B$78)^6</f>
        <v>2472585.1246795</v>
      </c>
      <c r="C27" s="47" t="n">
        <f aca="false">SUM('Unlevered FCF'!$E$17:$J$17)+(('Revenue Build'!$D$14*(1+C$22)^6)*$A27*'Control Panel'!$B$84)/(1+'Control Panel'!$B$78)^6</f>
        <v>2636704.92173963</v>
      </c>
      <c r="D27" s="47" t="n">
        <f aca="false">SUM('Unlevered FCF'!$E$17:$J$17)+(('Revenue Build'!$D$14*(1+D$22)^6)*$A27*'Control Panel'!$B$84)/(1+'Control Panel'!$B$78)^6</f>
        <v>2817060.05295395</v>
      </c>
      <c r="E27" s="47" t="n">
        <f aca="false">SUM('Unlevered FCF'!$E$17:$J$17)+(('Revenue Build'!$D$14*(1+E$22)^6)*$A27*'Control Panel'!$B$84)/(1+'Control Panel'!$B$78)^6</f>
        <v>3014910.71488386</v>
      </c>
      <c r="F27" s="47" t="n">
        <f aca="false">SUM('Unlevered FCF'!$E$17:$J$17)+(('Revenue Build'!$D$14*(1+F$22)^6)*$A27*'Control Panel'!$B$84)/(1+'Control Panel'!$B$78)^6</f>
        <v>3231589.08570419</v>
      </c>
      <c r="G27" s="47" t="n">
        <f aca="false">SUM('Unlevered FCF'!$E$17:$J$17)+(('Revenue Build'!$D$14*(1+G$22)^6)*$A27*'Control Panel'!$B$84)/(1+'Control Panel'!$B$78)^6</f>
        <v>3468502.01556635</v>
      </c>
      <c r="H27" s="47" t="n">
        <f aca="false">SUM('Unlevered FCF'!$E$17:$J$17)+(('Revenue Build'!$D$14*(1+H$22)^6)*$A27*'Control Panel'!$B$84)/(1+'Control Panel'!$B$78)^6</f>
        <v>3727133.76632601</v>
      </c>
    </row>
    <row r="30" customFormat="false" ht="15" hidden="false" customHeight="true" outlineLevel="0" collapsed="false">
      <c r="A30" s="40" t="s">
        <v>279</v>
      </c>
      <c r="B30" s="40"/>
      <c r="C30" s="40"/>
      <c r="D30" s="40"/>
      <c r="E30" s="40"/>
      <c r="F30" s="40"/>
      <c r="G30" s="40"/>
      <c r="H30" s="40"/>
    </row>
    <row r="31" customFormat="false" ht="15" hidden="false" customHeight="true" outlineLevel="0" collapsed="false">
      <c r="A31" s="56" t="s">
        <v>16</v>
      </c>
      <c r="B31" s="85" t="n">
        <v>0.075</v>
      </c>
      <c r="C31" s="85" t="n">
        <v>0.08</v>
      </c>
      <c r="D31" s="85" t="n">
        <v>0.085</v>
      </c>
      <c r="E31" s="85" t="n">
        <v>0.09</v>
      </c>
      <c r="F31" s="85" t="n">
        <v>0.095</v>
      </c>
      <c r="G31" s="85" t="n">
        <v>0.1</v>
      </c>
      <c r="H31" s="85" t="n">
        <v>0.105</v>
      </c>
    </row>
    <row r="32" customFormat="false" ht="15" hidden="false" customHeight="true" outlineLevel="0" collapsed="false">
      <c r="A32" s="84" t="n">
        <v>0.015</v>
      </c>
      <c r="B32" s="47" t="n">
        <f aca="false">(('Unlevered FCF'!E$14/(1+B$31)^1+'Unlevered FCF'!F$14/(1+B$31)^2+'Unlevered FCF'!G$14/(1+B$31)^3+'Unlevered FCF'!H$14/(1+B$31)^4+'Unlevered FCF'!I$14/(1+B$31)^5+'Unlevered FCF'!J$14/(1+B$31)^6)+('Unlevered FCF'!J$14*(1+$A32)/(B$31-$A32))/(1+B$31)^6-'Control Panel'!$B$85-'Control Panel'!$B$87-'Control Panel'!$B$88+'Control Panel'!$B$89+'Control Panel'!$B$90)</f>
        <v>4853587.68631225</v>
      </c>
      <c r="C32" s="47" t="n">
        <f aca="false">(('Unlevered FCF'!E$14/(1+C$31)^1+'Unlevered FCF'!F$14/(1+C$31)^2+'Unlevered FCF'!G$14/(1+C$31)^3+'Unlevered FCF'!H$14/(1+C$31)^4+'Unlevered FCF'!I$14/(1+C$31)^5+'Unlevered FCF'!J$14/(1+C$31)^6)+('Unlevered FCF'!J$14*(1+$A32)/(C$31-$A32))/(1+C$31)^6-'Control Panel'!$B$85-'Control Panel'!$B$87-'Control Panel'!$B$88+'Control Panel'!$B$89+'Control Panel'!$B$90)</f>
        <v>4464863.91676902</v>
      </c>
      <c r="D32" s="47" t="n">
        <f aca="false">(('Unlevered FCF'!E$14/(1+D$31)^1+'Unlevered FCF'!F$14/(1+D$31)^2+'Unlevered FCF'!G$14/(1+D$31)^3+'Unlevered FCF'!H$14/(1+D$31)^4+'Unlevered FCF'!I$14/(1+D$31)^5+'Unlevered FCF'!J$14/(1+D$31)^6)+('Unlevered FCF'!J$14*(1+$A32)/(D$31-$A32))/(1+D$31)^6-'Control Panel'!$B$85-'Control Panel'!$B$87-'Control Panel'!$B$88+'Control Panel'!$B$89+'Control Panel'!$B$90)</f>
        <v>4132027.18580639</v>
      </c>
      <c r="E32" s="47" t="n">
        <f aca="false">(('Unlevered FCF'!E$14/(1+E$31)^1+'Unlevered FCF'!F$14/(1+E$31)^2+'Unlevered FCF'!G$14/(1+E$31)^3+'Unlevered FCF'!H$14/(1+E$31)^4+'Unlevered FCF'!I$14/(1+E$31)^5+'Unlevered FCF'!J$14/(1+E$31)^6)+('Unlevered FCF'!J$14*(1+$A32)/(E$31-$A32))/(1+E$31)^6-'Control Panel'!$B$85-'Control Panel'!$B$87-'Control Panel'!$B$88+'Control Panel'!$B$89+'Control Panel'!$B$90)</f>
        <v>3843891.87263717</v>
      </c>
      <c r="F32" s="47" t="n">
        <f aca="false">(('Unlevered FCF'!E$14/(1+F$31)^1+'Unlevered FCF'!F$14/(1+F$31)^2+'Unlevered FCF'!G$14/(1+F$31)^3+'Unlevered FCF'!H$14/(1+F$31)^4+'Unlevered FCF'!I$14/(1+F$31)^5+'Unlevered FCF'!J$14/(1+F$31)^6)+('Unlevered FCF'!J$14*(1+$A32)/(F$31-$A32))/(1+F$31)^6-'Control Panel'!$B$85-'Control Panel'!$B$87-'Control Panel'!$B$88+'Control Panel'!$B$89+'Control Panel'!$B$90)</f>
        <v>3592068.99535438</v>
      </c>
      <c r="G32" s="47" t="n">
        <f aca="false">(('Unlevered FCF'!E$14/(1+G$31)^1+'Unlevered FCF'!F$14/(1+G$31)^2+'Unlevered FCF'!G$14/(1+G$31)^3+'Unlevered FCF'!H$14/(1+G$31)^4+'Unlevered FCF'!I$14/(1+G$31)^5+'Unlevered FCF'!J$14/(1+G$31)^6)+('Unlevered FCF'!J$14*(1+$A32)/(G$31-$A32))/(1+G$31)^6-'Control Panel'!$B$85-'Control Panel'!$B$87-'Control Panel'!$B$88+'Control Panel'!$B$89+'Control Panel'!$B$90)</f>
        <v>3370143.66227011</v>
      </c>
      <c r="H32" s="47" t="n">
        <f aca="false">(('Unlevered FCF'!E$14/(1+H$31)^1+'Unlevered FCF'!F$14/(1+H$31)^2+'Unlevered FCF'!G$14/(1+H$31)^3+'Unlevered FCF'!H$14/(1+H$31)^4+'Unlevered FCF'!I$14/(1+H$31)^5+'Unlevered FCF'!J$14/(1+H$31)^6)+('Unlevered FCF'!J$14*(1+$A32)/(H$31-$A32))/(1+H$31)^6-'Control Panel'!$B$85-'Control Panel'!$B$87-'Control Panel'!$B$88+'Control Panel'!$B$89+'Control Panel'!$B$90)</f>
        <v>3173126.70643998</v>
      </c>
    </row>
    <row r="33" customFormat="false" ht="15" hidden="false" customHeight="true" outlineLevel="0" collapsed="false">
      <c r="A33" s="84" t="n">
        <v>0.02</v>
      </c>
      <c r="B33" s="47" t="n">
        <f aca="false">(('Unlevered FCF'!E$14/(1+B$31)^1+'Unlevered FCF'!F$14/(1+B$31)^2+'Unlevered FCF'!G$14/(1+B$31)^3+'Unlevered FCF'!H$14/(1+B$31)^4+'Unlevered FCF'!I$14/(1+B$31)^5+'Unlevered FCF'!J$14/(1+B$31)^6)+('Unlevered FCF'!J$14*(1+$A33)/(B$31-$A33))/(1+B$31)^6-'Control Panel'!$B$85-'Control Panel'!$B$87-'Control Panel'!$B$88+'Control Panel'!$B$89+'Control Panel'!$B$90)</f>
        <v>5200810.01462735</v>
      </c>
      <c r="C33" s="47" t="n">
        <f aca="false">(('Unlevered FCF'!E$14/(1+C$31)^1+'Unlevered FCF'!F$14/(1+C$31)^2+'Unlevered FCF'!G$14/(1+C$31)^3+'Unlevered FCF'!H$14/(1+C$31)^4+'Unlevered FCF'!I$14/(1+C$31)^5+'Unlevered FCF'!J$14/(1+C$31)^6)+('Unlevered FCF'!J$14*(1+$A33)/(C$31-$A33))/(1+C$31)^6-'Control Panel'!$B$85-'Control Panel'!$B$87-'Control Panel'!$B$88+'Control Panel'!$B$89+'Control Panel'!$B$90)</f>
        <v>4751929.09962463</v>
      </c>
      <c r="D33" s="47" t="n">
        <f aca="false">(('Unlevered FCF'!E$14/(1+D$31)^1+'Unlevered FCF'!F$14/(1+D$31)^2+'Unlevered FCF'!G$14/(1+D$31)^3+'Unlevered FCF'!H$14/(1+D$31)^4+'Unlevered FCF'!I$14/(1+D$31)^5+'Unlevered FCF'!J$14/(1+D$31)^6)+('Unlevered FCF'!J$14*(1+$A33)/(D$31-$A33))/(1+D$31)^6-'Control Panel'!$B$85-'Control Panel'!$B$87-'Control Panel'!$B$88+'Control Panel'!$B$89+'Control Panel'!$B$90)</f>
        <v>4372465.57983036</v>
      </c>
      <c r="E33" s="47" t="n">
        <f aca="false">(('Unlevered FCF'!E$14/(1+E$31)^1+'Unlevered FCF'!F$14/(1+E$31)^2+'Unlevered FCF'!G$14/(1+E$31)^3+'Unlevered FCF'!H$14/(1+E$31)^4+'Unlevered FCF'!I$14/(1+E$31)^5+'Unlevered FCF'!J$14/(1+E$31)^6)+('Unlevered FCF'!J$14*(1+$A33)/(E$31-$A33))/(1+E$31)^6-'Control Panel'!$B$85-'Control Panel'!$B$87-'Control Panel'!$B$88+'Control Panel'!$B$89+'Control Panel'!$B$90)</f>
        <v>4047536.10430188</v>
      </c>
      <c r="F33" s="47" t="n">
        <f aca="false">(('Unlevered FCF'!E$14/(1+F$31)^1+'Unlevered FCF'!F$14/(1+F$31)^2+'Unlevered FCF'!G$14/(1+F$31)^3+'Unlevered FCF'!H$14/(1+F$31)^4+'Unlevered FCF'!I$14/(1+F$31)^5+'Unlevered FCF'!J$14/(1+F$31)^6)+('Unlevered FCF'!J$14*(1+$A33)/(F$31-$A33))/(1+F$31)^6-'Control Panel'!$B$85-'Control Panel'!$B$87-'Control Panel'!$B$88+'Control Panel'!$B$89+'Control Panel'!$B$90)</f>
        <v>3766226.4464118</v>
      </c>
      <c r="G33" s="47" t="n">
        <f aca="false">(('Unlevered FCF'!E$14/(1+G$31)^1+'Unlevered FCF'!F$14/(1+G$31)^2+'Unlevered FCF'!G$14/(1+G$31)^3+'Unlevered FCF'!H$14/(1+G$31)^4+'Unlevered FCF'!I$14/(1+G$31)^5+'Unlevered FCF'!J$14/(1+G$31)^6)+('Unlevered FCF'!J$14*(1+$A33)/(G$31-$A33))/(1+G$31)^6-'Control Panel'!$B$85-'Control Panel'!$B$87-'Control Panel'!$B$88+'Control Panel'!$B$89+'Control Panel'!$B$90)</f>
        <v>3520351.14485252</v>
      </c>
      <c r="H33" s="47" t="n">
        <f aca="false">(('Unlevered FCF'!E$14/(1+H$31)^1+'Unlevered FCF'!F$14/(1+H$31)^2+'Unlevered FCF'!G$14/(1+H$31)^3+'Unlevered FCF'!H$14/(1+H$31)^4+'Unlevered FCF'!I$14/(1+H$31)^5+'Unlevered FCF'!J$14/(1+H$31)^6)+('Unlevered FCF'!J$14*(1+$A33)/(H$31-$A33))/(1+H$31)^6-'Control Panel'!$B$85-'Control Panel'!$B$87-'Control Panel'!$B$88+'Control Panel'!$B$89+'Control Panel'!$B$90)</f>
        <v>3303650.91869379</v>
      </c>
    </row>
    <row r="34" customFormat="false" ht="15" hidden="false" customHeight="true" outlineLevel="0" collapsed="false">
      <c r="A34" s="84" t="n">
        <v>0.025</v>
      </c>
      <c r="B34" s="47" t="n">
        <f aca="false">(('Unlevered FCF'!E$14/(1+B$31)^1+'Unlevered FCF'!F$14/(1+B$31)^2+'Unlevered FCF'!G$14/(1+B$31)^3+'Unlevered FCF'!H$14/(1+B$31)^4+'Unlevered FCF'!I$14/(1+B$31)^5+'Unlevered FCF'!J$14/(1+B$31)^6)+('Unlevered FCF'!J$14*(1+$A34)/(B$31-$A34))/(1+B$31)^6-'Control Panel'!$B$85-'Control Panel'!$B$87-'Control Panel'!$B$88+'Control Panel'!$B$89+'Control Panel'!$B$90)</f>
        <v>5617476.80860546</v>
      </c>
      <c r="C34" s="47" t="n">
        <f aca="false">(('Unlevered FCF'!E$14/(1+C$31)^1+'Unlevered FCF'!F$14/(1+C$31)^2+'Unlevered FCF'!G$14/(1+C$31)^3+'Unlevered FCF'!H$14/(1+C$31)^4+'Unlevered FCF'!I$14/(1+C$31)^5+'Unlevered FCF'!J$14/(1+C$31)^6)+('Unlevered FCF'!J$14*(1+$A34)/(C$31-$A34))/(1+C$31)^6-'Control Panel'!$B$85-'Control Panel'!$B$87-'Control Panel'!$B$88+'Control Panel'!$B$89+'Control Panel'!$B$90)</f>
        <v>5091187.95209035</v>
      </c>
      <c r="D34" s="47" t="n">
        <f aca="false">(('Unlevered FCF'!E$14/(1+D$31)^1+'Unlevered FCF'!F$14/(1+D$31)^2+'Unlevered FCF'!G$14/(1+D$31)^3+'Unlevered FCF'!H$14/(1+D$31)^4+'Unlevered FCF'!I$14/(1+D$31)^5+'Unlevered FCF'!J$14/(1+D$31)^6)+('Unlevered FCF'!J$14*(1+$A34)/(D$31-$A34))/(1+D$31)^6-'Control Panel'!$B$85-'Control Panel'!$B$87-'Control Panel'!$B$88+'Control Panel'!$B$89+'Control Panel'!$B$90)</f>
        <v>4652977.039525</v>
      </c>
      <c r="E34" s="47" t="n">
        <f aca="false">(('Unlevered FCF'!E$14/(1+E$31)^1+'Unlevered FCF'!F$14/(1+E$31)^2+'Unlevered FCF'!G$14/(1+E$31)^3+'Unlevered FCF'!H$14/(1+E$31)^4+'Unlevered FCF'!I$14/(1+E$31)^5+'Unlevered FCF'!J$14/(1+E$31)^6)+('Unlevered FCF'!J$14*(1+$A34)/(E$31-$A34))/(1+E$31)^6-'Control Panel'!$B$85-'Control Panel'!$B$87-'Control Panel'!$B$88+'Control Panel'!$B$89+'Control Panel'!$B$90)</f>
        <v>4282510.21776115</v>
      </c>
      <c r="F34" s="47" t="n">
        <f aca="false">(('Unlevered FCF'!E$14/(1+F$31)^1+'Unlevered FCF'!F$14/(1+F$31)^2+'Unlevered FCF'!G$14/(1+F$31)^3+'Unlevered FCF'!H$14/(1+F$31)^4+'Unlevered FCF'!I$14/(1+F$31)^5+'Unlevered FCF'!J$14/(1+F$31)^6)+('Unlevered FCF'!J$14*(1+$A34)/(F$31-$A34))/(1+F$31)^6-'Control Panel'!$B$85-'Control Panel'!$B$87-'Control Panel'!$B$88+'Control Panel'!$B$89+'Control Panel'!$B$90)</f>
        <v>3965263.53333455</v>
      </c>
      <c r="G34" s="47" t="n">
        <f aca="false">(('Unlevered FCF'!E$14/(1+G$31)^1+'Unlevered FCF'!F$14/(1+G$31)^2+'Unlevered FCF'!G$14/(1+G$31)^3+'Unlevered FCF'!H$14/(1+G$31)^4+'Unlevered FCF'!I$14/(1+G$31)^5+'Unlevered FCF'!J$14/(1+G$31)^6)+('Unlevered FCF'!J$14*(1+$A34)/(G$31-$A34))/(1+G$31)^6-'Control Panel'!$B$85-'Control Panel'!$B$87-'Control Panel'!$B$88+'Control Panel'!$B$89+'Control Panel'!$B$90)</f>
        <v>3690586.29177924</v>
      </c>
      <c r="H34" s="47" t="n">
        <f aca="false">(('Unlevered FCF'!E$14/(1+H$31)^1+'Unlevered FCF'!F$14/(1+H$31)^2+'Unlevered FCF'!G$14/(1+H$31)^3+'Unlevered FCF'!H$14/(1+H$31)^4+'Unlevered FCF'!I$14/(1+H$31)^5+'Unlevered FCF'!J$14/(1+H$31)^6)+('Unlevered FCF'!J$14*(1+$A34)/(H$31-$A34))/(1+H$31)^6-'Control Panel'!$B$85-'Control Panel'!$B$87-'Control Panel'!$B$88+'Control Panel'!$B$89+'Control Panel'!$B$90)</f>
        <v>3450490.65747932</v>
      </c>
    </row>
    <row r="35" customFormat="false" ht="15" hidden="false" customHeight="true" outlineLevel="0" collapsed="false">
      <c r="A35" s="84" t="n">
        <v>0.03</v>
      </c>
      <c r="B35" s="47" t="n">
        <f aca="false">(('Unlevered FCF'!E$14/(1+B$31)^1+'Unlevered FCF'!F$14/(1+B$31)^2+'Unlevered FCF'!G$14/(1+B$31)^3+'Unlevered FCF'!H$14/(1+B$31)^4+'Unlevered FCF'!I$14/(1+B$31)^5+'Unlevered FCF'!J$14/(1+B$31)^6)+('Unlevered FCF'!J$14*(1+$A35)/(B$31-$A35))/(1+B$31)^6-'Control Panel'!$B$85-'Control Panel'!$B$87-'Control Panel'!$B$88+'Control Panel'!$B$89+'Control Panel'!$B$90)</f>
        <v>6126736.22346761</v>
      </c>
      <c r="C35" s="47" t="n">
        <f aca="false">(('Unlevered FCF'!E$14/(1+C$31)^1+'Unlevered FCF'!F$14/(1+C$31)^2+'Unlevered FCF'!G$14/(1+C$31)^3+'Unlevered FCF'!H$14/(1+C$31)^4+'Unlevered FCF'!I$14/(1+C$31)^5+'Unlevered FCF'!J$14/(1+C$31)^6)+('Unlevered FCF'!J$14*(1+$A35)/(C$31-$A35))/(1+C$31)^6-'Control Panel'!$B$85-'Control Panel'!$B$87-'Control Panel'!$B$88+'Control Panel'!$B$89+'Control Panel'!$B$90)</f>
        <v>5498298.57504921</v>
      </c>
      <c r="D35" s="47" t="n">
        <f aca="false">(('Unlevered FCF'!E$14/(1+D$31)^1+'Unlevered FCF'!F$14/(1+D$31)^2+'Unlevered FCF'!G$14/(1+D$31)^3+'Unlevered FCF'!H$14/(1+D$31)^4+'Unlevered FCF'!I$14/(1+D$31)^5+'Unlevered FCF'!J$14/(1+D$31)^6)+('Unlevered FCF'!J$14*(1+$A35)/(D$31-$A35))/(1+D$31)^6-'Control Panel'!$B$85-'Control Panel'!$B$87-'Control Panel'!$B$88+'Control Panel'!$B$89+'Control Panel'!$B$90)</f>
        <v>4984490.58280048</v>
      </c>
      <c r="E35" s="47" t="n">
        <f aca="false">(('Unlevered FCF'!E$14/(1+E$31)^1+'Unlevered FCF'!F$14/(1+E$31)^2+'Unlevered FCF'!G$14/(1+E$31)^3+'Unlevered FCF'!H$14/(1+E$31)^4+'Unlevered FCF'!I$14/(1+E$31)^5+'Unlevered FCF'!J$14/(1+E$31)^6)+('Unlevered FCF'!J$14*(1+$A35)/(E$31-$A35))/(1+E$31)^6-'Control Panel'!$B$85-'Control Panel'!$B$87-'Control Panel'!$B$88+'Control Panel'!$B$89+'Control Panel'!$B$90)</f>
        <v>4556646.68346364</v>
      </c>
      <c r="F35" s="47" t="n">
        <f aca="false">(('Unlevered FCF'!E$14/(1+F$31)^1+'Unlevered FCF'!F$14/(1+F$31)^2+'Unlevered FCF'!G$14/(1+F$31)^3+'Unlevered FCF'!H$14/(1+F$31)^4+'Unlevered FCF'!I$14/(1+F$31)^5+'Unlevered FCF'!J$14/(1+F$31)^6)+('Unlevered FCF'!J$14*(1+$A35)/(F$31-$A35))/(1+F$31)^6-'Control Panel'!$B$85-'Control Panel'!$B$87-'Control Panel'!$B$88+'Control Panel'!$B$89+'Control Panel'!$B$90)</f>
        <v>4194921.71055311</v>
      </c>
      <c r="G35" s="47" t="n">
        <f aca="false">(('Unlevered FCF'!E$14/(1+G$31)^1+'Unlevered FCF'!F$14/(1+G$31)^2+'Unlevered FCF'!G$14/(1+G$31)^3+'Unlevered FCF'!H$14/(1+G$31)^4+'Unlevered FCF'!I$14/(1+G$31)^5+'Unlevered FCF'!J$14/(1+G$31)^6)+('Unlevered FCF'!J$14*(1+$A35)/(G$31-$A35))/(1+G$31)^6-'Control Panel'!$B$85-'Control Panel'!$B$87-'Control Panel'!$B$88+'Control Panel'!$B$89+'Control Panel'!$B$90)</f>
        <v>3885140.74540978</v>
      </c>
      <c r="H35" s="47" t="n">
        <f aca="false">(('Unlevered FCF'!E$14/(1+H$31)^1+'Unlevered FCF'!F$14/(1+H$31)^2+'Unlevered FCF'!G$14/(1+H$31)^3+'Unlevered FCF'!H$14/(1+H$31)^4+'Unlevered FCF'!I$14/(1+H$31)^5+'Unlevered FCF'!J$14/(1+H$31)^6)+('Unlevered FCF'!J$14*(1+$A35)/(H$31-$A35))/(1+H$31)^6-'Control Panel'!$B$85-'Control Panel'!$B$87-'Control Panel'!$B$88+'Control Panel'!$B$89+'Control Panel'!$B$90)</f>
        <v>3616909.02810292</v>
      </c>
    </row>
    <row r="36" customFormat="false" ht="15" hidden="false" customHeight="true" outlineLevel="0" collapsed="false">
      <c r="A36" s="84" t="n">
        <v>0.035</v>
      </c>
      <c r="B36" s="47" t="n">
        <f aca="false">(('Unlevered FCF'!E$14/(1+B$31)^1+'Unlevered FCF'!F$14/(1+B$31)^2+'Unlevered FCF'!G$14/(1+B$31)^3+'Unlevered FCF'!H$14/(1+B$31)^4+'Unlevered FCF'!I$14/(1+B$31)^5+'Unlevered FCF'!J$14/(1+B$31)^6)+('Unlevered FCF'!J$14*(1+$A36)/(B$31-$A36))/(1+B$31)^6-'Control Panel'!$B$85-'Control Panel'!$B$87-'Control Panel'!$B$88+'Control Panel'!$B$89+'Control Panel'!$B$90)</f>
        <v>6763310.49204528</v>
      </c>
      <c r="C36" s="47" t="n">
        <f aca="false">(('Unlevered FCF'!E$14/(1+C$31)^1+'Unlevered FCF'!F$14/(1+C$31)^2+'Unlevered FCF'!G$14/(1+C$31)^3+'Unlevered FCF'!H$14/(1+C$31)^4+'Unlevered FCF'!I$14/(1+C$31)^5+'Unlevered FCF'!J$14/(1+C$31)^6)+('Unlevered FCF'!J$14*(1+$A36)/(C$31-$A36))/(1+C$31)^6-'Control Panel'!$B$85-'Control Panel'!$B$87-'Control Panel'!$B$88+'Control Panel'!$B$89+'Control Panel'!$B$90)</f>
        <v>5995878.22533227</v>
      </c>
      <c r="D36" s="47" t="n">
        <f aca="false">(('Unlevered FCF'!E$14/(1+D$31)^1+'Unlevered FCF'!F$14/(1+D$31)^2+'Unlevered FCF'!G$14/(1+D$31)^3+'Unlevered FCF'!H$14/(1+D$31)^4+'Unlevered FCF'!I$14/(1+D$31)^5+'Unlevered FCF'!J$14/(1+D$31)^6)+('Unlevered FCF'!J$14*(1+$A36)/(D$31-$A36))/(1+D$31)^6-'Control Panel'!$B$85-'Control Panel'!$B$87-'Control Panel'!$B$88+'Control Panel'!$B$89+'Control Panel'!$B$90)</f>
        <v>5382306.83473106</v>
      </c>
      <c r="E36" s="47" t="n">
        <f aca="false">(('Unlevered FCF'!E$14/(1+E$31)^1+'Unlevered FCF'!F$14/(1+E$31)^2+'Unlevered FCF'!G$14/(1+E$31)^3+'Unlevered FCF'!H$14/(1+E$31)^4+'Unlevered FCF'!I$14/(1+E$31)^5+'Unlevered FCF'!J$14/(1+E$31)^6)+('Unlevered FCF'!J$14*(1+$A36)/(E$31-$A36))/(1+E$31)^6-'Control Panel'!$B$85-'Control Panel'!$B$87-'Control Panel'!$B$88+'Control Panel'!$B$89+'Control Panel'!$B$90)</f>
        <v>4880626.14293022</v>
      </c>
      <c r="F36" s="47" t="n">
        <f aca="false">(('Unlevered FCF'!E$14/(1+F$31)^1+'Unlevered FCF'!F$14/(1+F$31)^2+'Unlevered FCF'!G$14/(1+F$31)^3+'Unlevered FCF'!H$14/(1+F$31)^4+'Unlevered FCF'!I$14/(1+F$31)^5+'Unlevered FCF'!J$14/(1+F$31)^6)+('Unlevered FCF'!J$14*(1+$A36)/(F$31-$A36))/(1+F$31)^6-'Control Panel'!$B$85-'Control Panel'!$B$87-'Control Panel'!$B$88+'Control Panel'!$B$89+'Control Panel'!$B$90)</f>
        <v>4462856.25064144</v>
      </c>
      <c r="G36" s="47" t="n">
        <f aca="false">(('Unlevered FCF'!E$14/(1+G$31)^1+'Unlevered FCF'!F$14/(1+G$31)^2+'Unlevered FCF'!G$14/(1+G$31)^3+'Unlevered FCF'!H$14/(1+G$31)^4+'Unlevered FCF'!I$14/(1+G$31)^5+'Unlevered FCF'!J$14/(1+G$31)^6)+('Unlevered FCF'!J$14*(1+$A36)/(G$31-$A36))/(1+G$31)^6-'Control Panel'!$B$85-'Control Panel'!$B$87-'Control Panel'!$B$88+'Control Panel'!$B$89+'Control Panel'!$B$90)</f>
        <v>4109626.65344502</v>
      </c>
      <c r="H36" s="47" t="n">
        <f aca="false">(('Unlevered FCF'!E$14/(1+H$31)^1+'Unlevered FCF'!F$14/(1+H$31)^2+'Unlevered FCF'!G$14/(1+H$31)^3+'Unlevered FCF'!H$14/(1+H$31)^4+'Unlevered FCF'!I$14/(1+H$31)^5+'Unlevered FCF'!J$14/(1+H$31)^6)+('Unlevered FCF'!J$14*(1+$A36)/(H$31-$A36))/(1+H$31)^6-'Control Panel'!$B$85-'Control Panel'!$B$87-'Control Panel'!$B$88+'Control Panel'!$B$89+'Control Panel'!$B$90)</f>
        <v>3807101.45167275</v>
      </c>
    </row>
    <row r="39" customFormat="false" ht="15" hidden="false" customHeight="true" outlineLevel="0" collapsed="false">
      <c r="A39" s="40" t="s">
        <v>280</v>
      </c>
      <c r="B39" s="40"/>
      <c r="C39" s="40"/>
      <c r="D39" s="40"/>
      <c r="E39" s="40"/>
      <c r="F39" s="40"/>
      <c r="G39" s="40"/>
      <c r="H39" s="40"/>
    </row>
    <row r="40" customFormat="false" ht="15" hidden="false" customHeight="true" outlineLevel="0" collapsed="false">
      <c r="A40" s="56" t="s">
        <v>16</v>
      </c>
      <c r="B40" s="85" t="n">
        <v>0.075</v>
      </c>
      <c r="C40" s="85" t="n">
        <v>0.08</v>
      </c>
      <c r="D40" s="85" t="n">
        <v>0.085</v>
      </c>
      <c r="E40" s="85" t="n">
        <v>0.09</v>
      </c>
      <c r="F40" s="85" t="n">
        <v>0.095</v>
      </c>
      <c r="G40" s="85" t="n">
        <v>0.1</v>
      </c>
      <c r="H40" s="85" t="n">
        <v>0.105</v>
      </c>
    </row>
    <row r="41" customFormat="false" ht="15" hidden="false" customHeight="true" outlineLevel="0" collapsed="false">
      <c r="A41" s="84" t="n">
        <v>0.015</v>
      </c>
      <c r="B41" s="50" t="n">
        <f aca="false">(('Unlevered FCF'!E$14/(1+B$40)^1+'Unlevered FCF'!F$14/(1+B$40)^2+'Unlevered FCF'!G$14/(1+B$40)^3+'Unlevered FCF'!H$14/(1+B$40)^4+'Unlevered FCF'!I$14/(1+B$40)^5+'Unlevered FCF'!J$14/(1+B$40)^6)+('Unlevered FCF'!J$14*(1+$A41)/(B$40-$A41))/(1+B$40)^6-'Control Panel'!$B$85-'Control Panel'!$B$87-'Control Panel'!$B$88+'Control Panel'!$B$89+'Control Panel'!$B$90)/'Control Panel'!$B$86/'Control Panel'!$B$12-1</f>
        <v>-0.0610978275923225</v>
      </c>
      <c r="C41" s="50" t="n">
        <f aca="false">(('Unlevered FCF'!E$14/(1+C$40)^1+'Unlevered FCF'!F$14/(1+C$40)^2+'Unlevered FCF'!G$14/(1+C$40)^3+'Unlevered FCF'!H$14/(1+C$40)^4+'Unlevered FCF'!I$14/(1+C$40)^5+'Unlevered FCF'!J$14/(1+C$40)^6)+('Unlevered FCF'!J$14*(1+$A41)/(C$40-$A41))/(1+C$40)^6-'Control Panel'!$B$85-'Control Panel'!$B$87-'Control Panel'!$B$88+'Control Panel'!$B$89+'Control Panel'!$B$90)/'Control Panel'!$B$86/'Control Panel'!$B$12-1</f>
        <v>-0.136294489377154</v>
      </c>
      <c r="D41" s="50" t="n">
        <f aca="false">(('Unlevered FCF'!E$14/(1+D$40)^1+'Unlevered FCF'!F$14/(1+D$40)^2+'Unlevered FCF'!G$14/(1+D$40)^3+'Unlevered FCF'!H$14/(1+D$40)^4+'Unlevered FCF'!I$14/(1+D$40)^5+'Unlevered FCF'!J$14/(1+D$40)^6)+('Unlevered FCF'!J$14*(1+$A41)/(D$40-$A41))/(1+D$40)^6-'Control Panel'!$B$85-'Control Panel'!$B$87-'Control Panel'!$B$88+'Control Panel'!$B$89+'Control Panel'!$B$90)/'Control Panel'!$B$86/'Control Panel'!$B$12-1</f>
        <v>-0.200680084107248</v>
      </c>
      <c r="E41" s="50" t="n">
        <f aca="false">(('Unlevered FCF'!E$14/(1+E$40)^1+'Unlevered FCF'!F$14/(1+E$40)^2+'Unlevered FCF'!G$14/(1+E$40)^3+'Unlevered FCF'!H$14/(1+E$40)^4+'Unlevered FCF'!I$14/(1+E$40)^5+'Unlevered FCF'!J$14/(1+E$40)^6)+('Unlevered FCF'!J$14*(1+$A41)/(E$40-$A41))/(1+E$40)^6-'Control Panel'!$B$85-'Control Panel'!$B$87-'Control Panel'!$B$88+'Control Panel'!$B$89+'Control Panel'!$B$90)/'Control Panel'!$B$86/'Control Panel'!$B$12-1</f>
        <v>-0.256418413970924</v>
      </c>
      <c r="F41" s="50" t="n">
        <f aca="false">(('Unlevered FCF'!E$14/(1+F$40)^1+'Unlevered FCF'!F$14/(1+F$40)^2+'Unlevered FCF'!G$14/(1+F$40)^3+'Unlevered FCF'!H$14/(1+F$40)^4+'Unlevered FCF'!I$14/(1+F$40)^5+'Unlevered FCF'!J$14/(1+F$40)^6)+('Unlevered FCF'!J$14*(1+$A41)/(F$40-$A41))/(1+F$40)^6-'Control Panel'!$B$85-'Control Panel'!$B$87-'Control Panel'!$B$88+'Control Panel'!$B$89+'Control Panel'!$B$90)/'Control Panel'!$B$86/'Control Panel'!$B$12-1</f>
        <v>-0.305132285404532</v>
      </c>
      <c r="G41" s="50" t="n">
        <f aca="false">(('Unlevered FCF'!E$14/(1+G$40)^1+'Unlevered FCF'!F$14/(1+G$40)^2+'Unlevered FCF'!G$14/(1+G$40)^3+'Unlevered FCF'!H$14/(1+G$40)^4+'Unlevered FCF'!I$14/(1+G$40)^5+'Unlevered FCF'!J$14/(1+G$40)^6)+('Unlevered FCF'!J$14*(1+$A41)/(G$40-$A41))/(1+G$40)^6-'Control Panel'!$B$85-'Control Panel'!$B$87-'Control Panel'!$B$88+'Control Panel'!$B$89+'Control Panel'!$B$90)/'Control Panel'!$B$86/'Control Panel'!$B$12-1</f>
        <v>-0.348062627001686</v>
      </c>
      <c r="H41" s="50" t="n">
        <f aca="false">(('Unlevered FCF'!E$14/(1+H$40)^1+'Unlevered FCF'!F$14/(1+H$40)^2+'Unlevered FCF'!G$14/(1+H$40)^3+'Unlevered FCF'!H$14/(1+H$40)^4+'Unlevered FCF'!I$14/(1+H$40)^5+'Unlevered FCF'!J$14/(1+H$40)^6)+('Unlevered FCF'!J$14*(1+$A41)/(H$40-$A41))/(1+H$40)^6-'Control Panel'!$B$85-'Control Panel'!$B$87-'Control Panel'!$B$88+'Control Panel'!$B$89+'Control Panel'!$B$90)/'Control Panel'!$B$86/'Control Panel'!$B$12-1</f>
        <v>-0.386174568061641</v>
      </c>
    </row>
    <row r="42" customFormat="false" ht="15" hidden="false" customHeight="true" outlineLevel="0" collapsed="false">
      <c r="A42" s="84" t="n">
        <v>0.02</v>
      </c>
      <c r="B42" s="50" t="n">
        <f aca="false">(('Unlevered FCF'!E$14/(1+B$40)^1+'Unlevered FCF'!F$14/(1+B$40)^2+'Unlevered FCF'!G$14/(1+B$40)^3+'Unlevered FCF'!H$14/(1+B$40)^4+'Unlevered FCF'!I$14/(1+B$40)^5+'Unlevered FCF'!J$14/(1+B$40)^6)+('Unlevered FCF'!J$14*(1+$A42)/(B$40-$A42))/(1+B$40)^6-'Control Panel'!$B$85-'Control Panel'!$B$87-'Control Panel'!$B$88+'Control Panel'!$B$89+'Control Panel'!$B$90)/'Control Panel'!$B$86/'Control Panel'!$B$12-1</f>
        <v>0.0060705887284298</v>
      </c>
      <c r="C42" s="50" t="n">
        <f aca="false">(('Unlevered FCF'!E$14/(1+C$40)^1+'Unlevered FCF'!F$14/(1+C$40)^2+'Unlevered FCF'!G$14/(1+C$40)^3+'Unlevered FCF'!H$14/(1+C$40)^4+'Unlevered FCF'!I$14/(1+C$40)^5+'Unlevered FCF'!J$14/(1+C$40)^6)+('Unlevered FCF'!J$14*(1+$A42)/(C$40-$A42))/(1+C$40)^6-'Control Panel'!$B$85-'Control Panel'!$B$87-'Control Panel'!$B$88+'Control Panel'!$B$89+'Control Panel'!$B$90)/'Control Panel'!$B$86/'Control Panel'!$B$12-1</f>
        <v>-0.0807631708504811</v>
      </c>
      <c r="D42" s="50" t="n">
        <f aca="false">(('Unlevered FCF'!E$14/(1+D$40)^1+'Unlevered FCF'!F$14/(1+D$40)^2+'Unlevered FCF'!G$14/(1+D$40)^3+'Unlevered FCF'!H$14/(1+D$40)^4+'Unlevered FCF'!I$14/(1+D$40)^5+'Unlevered FCF'!J$14/(1+D$40)^6)+('Unlevered FCF'!J$14*(1+$A42)/(D$40-$A42))/(1+D$40)^6-'Control Panel'!$B$85-'Control Panel'!$B$87-'Control Panel'!$B$88+'Control Panel'!$B$89+'Control Panel'!$B$90)/'Control Panel'!$B$86/'Control Panel'!$B$12-1</f>
        <v>-0.15416848380878</v>
      </c>
      <c r="E42" s="50" t="n">
        <f aca="false">(('Unlevered FCF'!E$14/(1+E$40)^1+'Unlevered FCF'!F$14/(1+E$40)^2+'Unlevered FCF'!G$14/(1+E$40)^3+'Unlevered FCF'!H$14/(1+E$40)^4+'Unlevered FCF'!I$14/(1+E$40)^5+'Unlevered FCF'!J$14/(1+E$40)^6)+('Unlevered FCF'!J$14*(1+$A42)/(E$40-$A42))/(1+E$40)^6-'Control Panel'!$B$85-'Control Panel'!$B$87-'Control Panel'!$B$88+'Control Panel'!$B$89+'Control Panel'!$B$90)/'Control Panel'!$B$86/'Control Panel'!$B$12-1</f>
        <v>-0.217024459670376</v>
      </c>
      <c r="F42" s="50" t="n">
        <f aca="false">(('Unlevered FCF'!E$14/(1+F$40)^1+'Unlevered FCF'!F$14/(1+F$40)^2+'Unlevered FCF'!G$14/(1+F$40)^3+'Unlevered FCF'!H$14/(1+F$40)^4+'Unlevered FCF'!I$14/(1+F$40)^5+'Unlevered FCF'!J$14/(1+F$40)^6)+('Unlevered FCF'!J$14*(1+$A42)/(F$40-$A42))/(1+F$40)^6-'Control Panel'!$B$85-'Control Panel'!$B$87-'Control Panel'!$B$88+'Control Panel'!$B$89+'Control Panel'!$B$90)/'Control Panel'!$B$86/'Control Panel'!$B$12-1</f>
        <v>-0.271442400785795</v>
      </c>
      <c r="G42" s="50" t="n">
        <f aca="false">(('Unlevered FCF'!E$14/(1+G$40)^1+'Unlevered FCF'!F$14/(1+G$40)^2+'Unlevered FCF'!G$14/(1+G$40)^3+'Unlevered FCF'!H$14/(1+G$40)^4+'Unlevered FCF'!I$14/(1+G$40)^5+'Unlevered FCF'!J$14/(1+G$40)^6)+('Unlevered FCF'!J$14*(1+$A42)/(G$40-$A42))/(1+G$40)^6-'Control Panel'!$B$85-'Control Panel'!$B$87-'Control Panel'!$B$88+'Control Panel'!$B$89+'Control Panel'!$B$90)/'Control Panel'!$B$86/'Control Panel'!$B$12-1</f>
        <v>-0.319005743553133</v>
      </c>
      <c r="H42" s="50" t="n">
        <f aca="false">(('Unlevered FCF'!E$14/(1+H$40)^1+'Unlevered FCF'!F$14/(1+H$40)^2+'Unlevered FCF'!G$14/(1+H$40)^3+'Unlevered FCF'!H$14/(1+H$40)^4+'Unlevered FCF'!I$14/(1+H$40)^5+'Unlevered FCF'!J$14/(1+H$40)^6)+('Unlevered FCF'!J$14*(1+$A42)/(H$40-$A42))/(1+H$40)^6-'Control Panel'!$B$85-'Control Panel'!$B$87-'Control Panel'!$B$88+'Control Panel'!$B$89+'Control Panel'!$B$90)/'Control Panel'!$B$86/'Control Panel'!$B$12-1</f>
        <v>-0.360925314446113</v>
      </c>
    </row>
    <row r="43" customFormat="false" ht="15" hidden="false" customHeight="true" outlineLevel="0" collapsed="false">
      <c r="A43" s="84" t="n">
        <v>0.025</v>
      </c>
      <c r="B43" s="50" t="n">
        <f aca="false">(('Unlevered FCF'!E$14/(1+B$40)^1+'Unlevered FCF'!F$14/(1+B$40)^2+'Unlevered FCF'!G$14/(1+B$40)^3+'Unlevered FCF'!H$14/(1+B$40)^4+'Unlevered FCF'!I$14/(1+B$40)^5+'Unlevered FCF'!J$14/(1+B$40)^6)+('Unlevered FCF'!J$14*(1+$A43)/(B$40-$A43))/(1+B$40)^6-'Control Panel'!$B$85-'Control Panel'!$B$87-'Control Panel'!$B$88+'Control Panel'!$B$89+'Control Panel'!$B$90)/'Control Panel'!$B$86/'Control Panel'!$B$12-1</f>
        <v>0.086672688313332</v>
      </c>
      <c r="C43" s="50" t="n">
        <f aca="false">(('Unlevered FCF'!E$14/(1+C$40)^1+'Unlevered FCF'!F$14/(1+C$40)^2+'Unlevered FCF'!G$14/(1+C$40)^3+'Unlevered FCF'!H$14/(1+C$40)^4+'Unlevered FCF'!I$14/(1+C$40)^5+'Unlevered FCF'!J$14/(1+C$40)^6)+('Unlevered FCF'!J$14*(1+$A43)/(C$40-$A43))/(1+C$40)^6-'Control Panel'!$B$85-'Control Panel'!$B$87-'Control Panel'!$B$88+'Control Panel'!$B$89+'Control Panel'!$B$90)/'Control Panel'!$B$86/'Control Panel'!$B$12-1</f>
        <v>-0.0151352489553234</v>
      </c>
      <c r="D43" s="50" t="n">
        <f aca="false">(('Unlevered FCF'!E$14/(1+D$40)^1+'Unlevered FCF'!F$14/(1+D$40)^2+'Unlevered FCF'!G$14/(1+D$40)^3+'Unlevered FCF'!H$14/(1+D$40)^4+'Unlevered FCF'!I$14/(1+D$40)^5+'Unlevered FCF'!J$14/(1+D$40)^6)+('Unlevered FCF'!J$14*(1+$A43)/(D$40-$A43))/(1+D$40)^6-'Control Panel'!$B$85-'Control Panel'!$B$87-'Control Panel'!$B$88+'Control Panel'!$B$89+'Control Panel'!$B$90)/'Control Panel'!$B$86/'Control Panel'!$B$12-1</f>
        <v>-0.0999049501272336</v>
      </c>
      <c r="E43" s="50" t="n">
        <f aca="false">(('Unlevered FCF'!E$14/(1+E$40)^1+'Unlevered FCF'!F$14/(1+E$40)^2+'Unlevered FCF'!G$14/(1+E$40)^3+'Unlevered FCF'!H$14/(1+E$40)^4+'Unlevered FCF'!I$14/(1+E$40)^5+'Unlevered FCF'!J$14/(1+E$40)^6)+('Unlevered FCF'!J$14*(1+$A43)/(E$40-$A43))/(1+E$40)^6-'Control Panel'!$B$85-'Control Panel'!$B$87-'Control Panel'!$B$88+'Control Panel'!$B$89+'Control Panel'!$B$90)/'Control Panel'!$B$86/'Control Panel'!$B$12-1</f>
        <v>-0.171569897015899</v>
      </c>
      <c r="F43" s="50" t="n">
        <f aca="false">(('Unlevered FCF'!E$14/(1+F$40)^1+'Unlevered FCF'!F$14/(1+F$40)^2+'Unlevered FCF'!G$14/(1+F$40)^3+'Unlevered FCF'!H$14/(1+F$40)^4+'Unlevered FCF'!I$14/(1+F$40)^5+'Unlevered FCF'!J$14/(1+F$40)^6)+('Unlevered FCF'!J$14*(1+$A43)/(F$40-$A43))/(1+F$40)^6-'Control Panel'!$B$85-'Control Panel'!$B$87-'Control Panel'!$B$88+'Control Panel'!$B$89+'Control Panel'!$B$90)/'Control Panel'!$B$86/'Control Panel'!$B$12-1</f>
        <v>-0.232939675507237</v>
      </c>
      <c r="G43" s="50" t="n">
        <f aca="false">(('Unlevered FCF'!E$14/(1+G$40)^1+'Unlevered FCF'!F$14/(1+G$40)^2+'Unlevered FCF'!G$14/(1+G$40)^3+'Unlevered FCF'!H$14/(1+G$40)^4+'Unlevered FCF'!I$14/(1+G$40)^5+'Unlevered FCF'!J$14/(1+G$40)^6)+('Unlevered FCF'!J$14*(1+$A43)/(G$40-$A43))/(1+G$40)^6-'Control Panel'!$B$85-'Control Panel'!$B$87-'Control Panel'!$B$88+'Control Panel'!$B$89+'Control Panel'!$B$90)/'Control Panel'!$B$86/'Control Panel'!$B$12-1</f>
        <v>-0.286074608978106</v>
      </c>
      <c r="H43" s="50" t="n">
        <f aca="false">(('Unlevered FCF'!E$14/(1+H$40)^1+'Unlevered FCF'!F$14/(1+H$40)^2+'Unlevered FCF'!G$14/(1+H$40)^3+'Unlevered FCF'!H$14/(1+H$40)^4+'Unlevered FCF'!I$14/(1+H$40)^5+'Unlevered FCF'!J$14/(1+H$40)^6)+('Unlevered FCF'!J$14*(1+$A43)/(H$40-$A43))/(1+H$40)^6-'Control Panel'!$B$85-'Control Panel'!$B$87-'Control Panel'!$B$88+'Control Panel'!$B$89+'Control Panel'!$B$90)/'Control Panel'!$B$86/'Control Panel'!$B$12-1</f>
        <v>-0.332519904128645</v>
      </c>
    </row>
    <row r="44" customFormat="false" ht="15" hidden="false" customHeight="true" outlineLevel="0" collapsed="false">
      <c r="A44" s="84" t="n">
        <v>0.03</v>
      </c>
      <c r="B44" s="50" t="n">
        <f aca="false">(('Unlevered FCF'!E$14/(1+B$40)^1+'Unlevered FCF'!F$14/(1+B$40)^2+'Unlevered FCF'!G$14/(1+B$40)^3+'Unlevered FCF'!H$14/(1+B$40)^4+'Unlevered FCF'!I$14/(1+B$40)^5+'Unlevered FCF'!J$14/(1+B$40)^6)+('Unlevered FCF'!J$14*(1+$A44)/(B$40-$A44))/(1+B$40)^6-'Control Panel'!$B$85-'Control Panel'!$B$87-'Control Panel'!$B$88+'Control Panel'!$B$89+'Control Panel'!$B$90)/'Control Panel'!$B$86/'Control Panel'!$B$12-1</f>
        <v>0.185186365583768</v>
      </c>
      <c r="C44" s="50" t="n">
        <f aca="false">(('Unlevered FCF'!E$14/(1+C$40)^1+'Unlevered FCF'!F$14/(1+C$40)^2+'Unlevered FCF'!G$14/(1+C$40)^3+'Unlevered FCF'!H$14/(1+C$40)^4+'Unlevered FCF'!I$14/(1+C$40)^5+'Unlevered FCF'!J$14/(1+C$40)^6)+('Unlevered FCF'!J$14*(1+$A44)/(C$40-$A44))/(1+C$40)^6-'Control Panel'!$B$85-'Control Panel'!$B$87-'Control Panel'!$B$88+'Control Panel'!$B$89+'Control Panel'!$B$90)/'Control Panel'!$B$86/'Control Panel'!$B$12-1</f>
        <v>0.0636182573188664</v>
      </c>
      <c r="D44" s="50" t="n">
        <f aca="false">(('Unlevered FCF'!E$14/(1+D$40)^1+'Unlevered FCF'!F$14/(1+D$40)^2+'Unlevered FCF'!G$14/(1+D$40)^3+'Unlevered FCF'!H$14/(1+D$40)^4+'Unlevered FCF'!I$14/(1+D$40)^5+'Unlevered FCF'!J$14/(1+D$40)^6)+('Unlevered FCF'!J$14*(1+$A44)/(D$40-$A44))/(1+D$40)^6-'Control Panel'!$B$85-'Control Panel'!$B$87-'Control Panel'!$B$88+'Control Panel'!$B$89+'Control Panel'!$B$90)/'Control Panel'!$B$86/'Control Panel'!$B$12-1</f>
        <v>-0.0357753194126786</v>
      </c>
      <c r="E44" s="50" t="n">
        <f aca="false">(('Unlevered FCF'!E$14/(1+E$40)^1+'Unlevered FCF'!F$14/(1+E$40)^2+'Unlevered FCF'!G$14/(1+E$40)^3+'Unlevered FCF'!H$14/(1+E$40)^4+'Unlevered FCF'!I$14/(1+E$40)^5+'Unlevered FCF'!J$14/(1+E$40)^6)+('Unlevered FCF'!J$14*(1+$A44)/(E$40-$A44))/(1+E$40)^6-'Control Panel'!$B$85-'Control Panel'!$B$87-'Control Panel'!$B$88+'Control Panel'!$B$89+'Control Panel'!$B$90)/'Control Panel'!$B$86/'Control Panel'!$B$12-1</f>
        <v>-0.118539573919007</v>
      </c>
      <c r="F44" s="50" t="n">
        <f aca="false">(('Unlevered FCF'!E$14/(1+F$40)^1+'Unlevered FCF'!F$14/(1+F$40)^2+'Unlevered FCF'!G$14/(1+F$40)^3+'Unlevered FCF'!H$14/(1+F$40)^4+'Unlevered FCF'!I$14/(1+F$40)^5+'Unlevered FCF'!J$14/(1+F$40)^6)+('Unlevered FCF'!J$14*(1+$A44)/(F$40-$A44))/(1+F$40)^6-'Control Panel'!$B$85-'Control Panel'!$B$87-'Control Panel'!$B$88+'Control Panel'!$B$89+'Control Panel'!$B$90)/'Control Panel'!$B$86/'Control Panel'!$B$12-1</f>
        <v>-0.188513454031978</v>
      </c>
      <c r="G44" s="50" t="n">
        <f aca="false">(('Unlevered FCF'!E$14/(1+G$40)^1+'Unlevered FCF'!F$14/(1+G$40)^2+'Unlevered FCF'!G$14/(1+G$40)^3+'Unlevered FCF'!H$14/(1+G$40)^4+'Unlevered FCF'!I$14/(1+G$40)^5+'Unlevered FCF'!J$14/(1+G$40)^6)+('Unlevered FCF'!J$14*(1+$A44)/(G$40-$A44))/(1+G$40)^6-'Control Panel'!$B$85-'Control Panel'!$B$87-'Control Panel'!$B$88+'Control Panel'!$B$89+'Control Panel'!$B$90)/'Control Panel'!$B$86/'Control Panel'!$B$12-1</f>
        <v>-0.248439026606647</v>
      </c>
      <c r="H44" s="50" t="n">
        <f aca="false">(('Unlevered FCF'!E$14/(1+H$40)^1+'Unlevered FCF'!F$14/(1+H$40)^2+'Unlevered FCF'!G$14/(1+H$40)^3+'Unlevered FCF'!H$14/(1+H$40)^4+'Unlevered FCF'!I$14/(1+H$40)^5+'Unlevered FCF'!J$14/(1+H$40)^6)+('Unlevered FCF'!J$14*(1+$A44)/(H$40-$A44))/(1+H$40)^6-'Control Panel'!$B$85-'Control Panel'!$B$87-'Control Panel'!$B$88+'Control Panel'!$B$89+'Control Panel'!$B$90)/'Control Panel'!$B$86/'Control Panel'!$B$12-1</f>
        <v>-0.300327105768848</v>
      </c>
    </row>
    <row r="45" customFormat="false" ht="15" hidden="false" customHeight="true" outlineLevel="0" collapsed="false">
      <c r="A45" s="84" t="n">
        <v>0.035</v>
      </c>
      <c r="B45" s="50" t="n">
        <f aca="false">(('Unlevered FCF'!E$14/(1+B$40)^1+'Unlevered FCF'!F$14/(1+B$40)^2+'Unlevered FCF'!G$14/(1+B$40)^3+'Unlevered FCF'!H$14/(1+B$40)^4+'Unlevered FCF'!I$14/(1+B$40)^5+'Unlevered FCF'!J$14/(1+B$40)^6)+('Unlevered FCF'!J$14*(1+$A45)/(B$40-$A45))/(1+B$40)^6-'Control Panel'!$B$85-'Control Panel'!$B$87-'Control Panel'!$B$88+'Control Panel'!$B$89+'Control Panel'!$B$90)/'Control Panel'!$B$86/'Control Panel'!$B$12-1</f>
        <v>0.308328462171814</v>
      </c>
      <c r="C45" s="50" t="n">
        <f aca="false">(('Unlevered FCF'!E$14/(1+C$40)^1+'Unlevered FCF'!F$14/(1+C$40)^2+'Unlevered FCF'!G$14/(1+C$40)^3+'Unlevered FCF'!H$14/(1+C$40)^4+'Unlevered FCF'!I$14/(1+C$40)^5+'Unlevered FCF'!J$14/(1+C$40)^6)+('Unlevered FCF'!J$14*(1+$A45)/(C$40-$A45))/(1+C$40)^6-'Control Panel'!$B$85-'Control Panel'!$B$87-'Control Panel'!$B$88+'Control Panel'!$B$89+'Control Panel'!$B$90)/'Control Panel'!$B$86/'Control Panel'!$B$12-1</f>
        <v>0.159872542765098</v>
      </c>
      <c r="D45" s="50" t="n">
        <f aca="false">(('Unlevered FCF'!E$14/(1+D$40)^1+'Unlevered FCF'!F$14/(1+D$40)^2+'Unlevered FCF'!G$14/(1+D$40)^3+'Unlevered FCF'!H$14/(1+D$40)^4+'Unlevered FCF'!I$14/(1+D$40)^5+'Unlevered FCF'!J$14/(1+D$40)^6)+('Unlevered FCF'!J$14*(1+$A45)/(D$40-$A45))/(1+D$40)^6-'Control Panel'!$B$85-'Control Panel'!$B$87-'Control Panel'!$B$88+'Control Panel'!$B$89+'Control Panel'!$B$90)/'Control Panel'!$B$86/'Control Panel'!$B$12-1</f>
        <v>0.0411802374447874</v>
      </c>
      <c r="E45" s="50" t="n">
        <f aca="false">(('Unlevered FCF'!E$14/(1+E$40)^1+'Unlevered FCF'!F$14/(1+E$40)^2+'Unlevered FCF'!G$14/(1+E$40)^3+'Unlevered FCF'!H$14/(1+E$40)^4+'Unlevered FCF'!I$14/(1+E$40)^5+'Unlevered FCF'!J$14/(1+E$40)^6)+('Unlevered FCF'!J$14*(1+$A45)/(E$40-$A45))/(1+E$40)^6-'Control Panel'!$B$85-'Control Panel'!$B$87-'Control Panel'!$B$88+'Control Panel'!$B$89+'Control Panel'!$B$90)/'Control Panel'!$B$86/'Control Panel'!$B$12-1</f>
        <v>-0.0558673738954086</v>
      </c>
      <c r="F45" s="50" t="n">
        <f aca="false">(('Unlevered FCF'!E$14/(1+F$40)^1+'Unlevered FCF'!F$14/(1+F$40)^2+'Unlevered FCF'!G$14/(1+F$40)^3+'Unlevered FCF'!H$14/(1+F$40)^4+'Unlevered FCF'!I$14/(1+F$40)^5+'Unlevered FCF'!J$14/(1+F$40)^6)+('Unlevered FCF'!J$14*(1+$A45)/(F$40-$A45))/(1+F$40)^6-'Control Panel'!$B$85-'Control Panel'!$B$87-'Control Panel'!$B$88+'Control Panel'!$B$89+'Control Panel'!$B$90)/'Control Panel'!$B$86/'Control Panel'!$B$12-1</f>
        <v>-0.136682862310843</v>
      </c>
      <c r="G45" s="50" t="n">
        <f aca="false">(('Unlevered FCF'!E$14/(1+G$40)^1+'Unlevered FCF'!F$14/(1+G$40)^2+'Unlevered FCF'!G$14/(1+G$40)^3+'Unlevered FCF'!H$14/(1+G$40)^4+'Unlevered FCF'!I$14/(1+G$40)^5+'Unlevered FCF'!J$14/(1+G$40)^6)+('Unlevered FCF'!J$14*(1+$A45)/(G$40-$A45))/(1+G$40)^6-'Control Panel'!$B$85-'Control Panel'!$B$87-'Control Panel'!$B$88+'Control Panel'!$B$89+'Control Panel'!$B$90)/'Control Panel'!$B$86/'Control Panel'!$B$12-1</f>
        <v>-0.205013354639579</v>
      </c>
      <c r="H45" s="50" t="n">
        <f aca="false">(('Unlevered FCF'!E$14/(1+H$40)^1+'Unlevered FCF'!F$14/(1+H$40)^2+'Unlevered FCF'!G$14/(1+H$40)^3+'Unlevered FCF'!H$14/(1+H$40)^4+'Unlevered FCF'!I$14/(1+H$40)^5+'Unlevered FCF'!J$14/(1+H$40)^6)+('Unlevered FCF'!J$14*(1+$A45)/(H$40-$A45))/(1+H$40)^6-'Control Panel'!$B$85-'Control Panel'!$B$87-'Control Panel'!$B$88+'Control Panel'!$B$89+'Control Panel'!$B$90)/'Control Panel'!$B$86/'Control Panel'!$B$12-1</f>
        <v>-0.263535336214795</v>
      </c>
    </row>
    <row r="48" customFormat="false" ht="15" hidden="false" customHeight="true" outlineLevel="0" collapsed="false">
      <c r="A48" s="40" t="s">
        <v>281</v>
      </c>
      <c r="B48" s="40"/>
      <c r="C48" s="40"/>
      <c r="D48" s="40"/>
      <c r="E48" s="40"/>
      <c r="F48" s="40"/>
      <c r="G48" s="40"/>
      <c r="H48" s="40"/>
    </row>
    <row r="49" customFormat="false" ht="34.5" hidden="false" customHeight="true" outlineLevel="0" collapsed="false">
      <c r="A49" s="56" t="s">
        <v>282</v>
      </c>
      <c r="B49" s="56" t="s">
        <v>17</v>
      </c>
      <c r="C49" s="56" t="s">
        <v>103</v>
      </c>
      <c r="D49" s="56" t="s">
        <v>15</v>
      </c>
      <c r="E49" s="56" t="s">
        <v>16</v>
      </c>
      <c r="F49" s="56" t="s">
        <v>167</v>
      </c>
      <c r="G49" s="56" t="s">
        <v>95</v>
      </c>
      <c r="H49" s="56" t="s">
        <v>96</v>
      </c>
    </row>
    <row r="50" customFormat="false" ht="15" hidden="false" customHeight="true" outlineLevel="0" collapsed="false">
      <c r="A50" s="43" t="s">
        <v>12</v>
      </c>
      <c r="B50" s="67" t="n">
        <f aca="false">INDEX('Control Panel'!G$21:G$23,MATCH(A50,'Control Panel'!$A$21:$A$23,0))</f>
        <v>0.06</v>
      </c>
      <c r="C50" s="67" t="n">
        <f aca="false">INDEX('Control Panel'!G$26:G$28,MATCH(A50,'Control Panel'!$A$26:$A$28,0))</f>
        <v>0.502</v>
      </c>
      <c r="D50" s="67" t="n">
        <f aca="false">'Control Panel'!$B$78</f>
        <v>0.106353</v>
      </c>
      <c r="E50" s="67" t="n">
        <f aca="false">'Control Panel'!$B$83</f>
        <v>0.03</v>
      </c>
      <c r="F50" s="78" t="n">
        <f aca="false">'Control Panel'!$B$84</f>
        <v>25</v>
      </c>
      <c r="G50" s="48" t="n">
        <f aca="false">'DCF Valuation'!$B$18*(1+(B50-B51)*2+(C50-C51)*3)</f>
        <v>109.386079112407</v>
      </c>
      <c r="H50" s="50" t="n">
        <f aca="false">G50/'Control Panel'!$B$12-1</f>
        <v>-0.483881857542668</v>
      </c>
    </row>
    <row r="51" customFormat="false" ht="15" hidden="false" customHeight="true" outlineLevel="0" collapsed="false">
      <c r="A51" s="43" t="s">
        <v>13</v>
      </c>
      <c r="B51" s="67" t="n">
        <f aca="false">INDEX('Control Panel'!G$21:G$23,MATCH(A51,'Control Panel'!$A$21:$A$23,0))</f>
        <v>0.1</v>
      </c>
      <c r="C51" s="67" t="n">
        <f aca="false">INDEX('Control Panel'!G$26:G$28,MATCH(A51,'Control Panel'!$A$26:$A$28,0))</f>
        <v>0.562</v>
      </c>
      <c r="D51" s="67" t="n">
        <f aca="false">'Control Panel'!$B$78</f>
        <v>0.106353</v>
      </c>
      <c r="E51" s="67" t="n">
        <f aca="false">'Control Panel'!$B$83</f>
        <v>0.03</v>
      </c>
      <c r="F51" s="78" t="n">
        <f aca="false">'Control Panel'!$B$84</f>
        <v>25</v>
      </c>
      <c r="G51" s="48" t="n">
        <f aca="false">'DCF Valuation'!$B$18*(1+(B51-B51)*2+(C51-C51)*3)</f>
        <v>147.819025827577</v>
      </c>
      <c r="H51" s="50" t="n">
        <f aca="false">G51/'Control Panel'!$B$12-1</f>
        <v>-0.302543050733335</v>
      </c>
    </row>
    <row r="52" customFormat="false" ht="15" hidden="false" customHeight="true" outlineLevel="0" collapsed="false">
      <c r="A52" s="43" t="s">
        <v>14</v>
      </c>
      <c r="B52" s="67" t="n">
        <f aca="false">INDEX('Control Panel'!G$21:G$23,MATCH(A52,'Control Panel'!$A$21:$A$23,0))</f>
        <v>0.13</v>
      </c>
      <c r="C52" s="67" t="n">
        <f aca="false">INDEX('Control Panel'!G$26:G$28,MATCH(A52,'Control Panel'!$A$26:$A$28,0))</f>
        <v>0.612</v>
      </c>
      <c r="D52" s="67" t="n">
        <f aca="false">'Control Panel'!$B$78</f>
        <v>0.106353</v>
      </c>
      <c r="E52" s="67" t="n">
        <f aca="false">'Control Panel'!$B$83</f>
        <v>0.03</v>
      </c>
      <c r="F52" s="78" t="n">
        <f aca="false">'Control Panel'!$B$84</f>
        <v>25</v>
      </c>
      <c r="G52" s="48" t="n">
        <f aca="false">'DCF Valuation'!$B$18*(1+(B52-B51)*2+(C52-C51)*3)</f>
        <v>178.861021251368</v>
      </c>
      <c r="H52" s="50" t="n">
        <f aca="false">G52/'Control Panel'!$B$12-1</f>
        <v>-0.156077091387336</v>
      </c>
    </row>
  </sheetData>
  <mergeCells count="7">
    <mergeCell ref="A1:L1"/>
    <mergeCell ref="A3:H3"/>
    <mergeCell ref="A12:H12"/>
    <mergeCell ref="A21:H21"/>
    <mergeCell ref="A30:H30"/>
    <mergeCell ref="A39:H39"/>
    <mergeCell ref="A48:H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8" width="40"/>
    <col collapsed="false" customWidth="true" hidden="false" outlineLevel="0" max="2" min="2" style="38" width="28"/>
    <col collapsed="false" customWidth="true" hidden="false" outlineLevel="0" max="3" min="3" style="38" width="14"/>
    <col collapsed="false" customWidth="true" hidden="false" outlineLevel="0" max="4" min="4" style="38" width="46"/>
    <col collapsed="false" customWidth="true" hidden="false" outlineLevel="0" max="6" min="5" style="38" width="18"/>
  </cols>
  <sheetData>
    <row r="1" customFormat="false" ht="24" hidden="false" customHeight="true" outlineLevel="0" collapsed="false">
      <c r="A1" s="39" t="s">
        <v>283</v>
      </c>
      <c r="B1" s="39"/>
      <c r="C1" s="39"/>
      <c r="D1" s="39"/>
      <c r="E1" s="39"/>
      <c r="F1" s="39"/>
    </row>
    <row r="4" customFormat="false" ht="15" hidden="false" customHeight="true" outlineLevel="0" collapsed="false">
      <c r="A4" s="56" t="s">
        <v>284</v>
      </c>
      <c r="B4" s="56" t="s">
        <v>285</v>
      </c>
      <c r="C4" s="56" t="s">
        <v>286</v>
      </c>
      <c r="D4" s="56" t="s">
        <v>175</v>
      </c>
      <c r="E4" s="56" t="s">
        <v>287</v>
      </c>
      <c r="F4" s="56" t="s">
        <v>288</v>
      </c>
    </row>
    <row r="5" customFormat="false" ht="15" hidden="false" customHeight="true" outlineLevel="0" collapsed="false">
      <c r="A5" s="41" t="s">
        <v>289</v>
      </c>
      <c r="B5" s="87" t="n">
        <f aca="false">ABS('Revenue Build'!J$14-'Margin Cost Build'!J$8)</f>
        <v>0</v>
      </c>
      <c r="C5" s="81" t="str">
        <f aca="false">IF(B5&lt;0.1,"OK","FAIL")</f>
        <v>OK</v>
      </c>
      <c r="D5" s="46" t="s">
        <v>290</v>
      </c>
      <c r="E5" s="51" t="s">
        <v>291</v>
      </c>
      <c r="F5" s="46" t="s">
        <v>292</v>
      </c>
    </row>
    <row r="6" customFormat="false" ht="15" hidden="false" customHeight="true" outlineLevel="0" collapsed="false">
      <c r="A6" s="41" t="s">
        <v>293</v>
      </c>
      <c r="B6" s="87" t="n">
        <f aca="false">ABS('Margin Cost Build'!J$12-('Margin Cost Build'!J$8*'Margin Cost Build'!J$11))</f>
        <v>0</v>
      </c>
      <c r="C6" s="81" t="str">
        <f aca="false">IF(B6&lt;0.1,"OK","FAIL")</f>
        <v>OK</v>
      </c>
      <c r="D6" s="46" t="s">
        <v>294</v>
      </c>
      <c r="E6" s="51" t="s">
        <v>291</v>
      </c>
      <c r="F6" s="46" t="s">
        <v>292</v>
      </c>
    </row>
    <row r="7" customFormat="false" ht="15" hidden="false" customHeight="true" outlineLevel="0" collapsed="false">
      <c r="A7" s="41" t="s">
        <v>295</v>
      </c>
      <c r="B7" s="87" t="n">
        <f aca="false">ABS('Margin Cost Build'!J$13-'Capex D&amp;A'!J$12)</f>
        <v>0</v>
      </c>
      <c r="C7" s="81" t="str">
        <f aca="false">IF(B7&lt;0.1,"OK","FAIL")</f>
        <v>OK</v>
      </c>
      <c r="D7" s="46" t="s">
        <v>295</v>
      </c>
      <c r="E7" s="51" t="s">
        <v>291</v>
      </c>
      <c r="F7" s="46" t="s">
        <v>292</v>
      </c>
    </row>
    <row r="8" customFormat="false" ht="15" hidden="false" customHeight="true" outlineLevel="0" collapsed="false">
      <c r="A8" s="41" t="s">
        <v>296</v>
      </c>
      <c r="B8" s="87" t="n">
        <f aca="false">ABS('Unlevered FCF'!J$13-'Working Capital'!J$17)</f>
        <v>0</v>
      </c>
      <c r="C8" s="81" t="str">
        <f aca="false">IF(B8&lt;0.1,"OK","FAIL")</f>
        <v>OK</v>
      </c>
      <c r="D8" s="46" t="s">
        <v>297</v>
      </c>
      <c r="E8" s="51" t="s">
        <v>291</v>
      </c>
      <c r="F8" s="46" t="s">
        <v>292</v>
      </c>
    </row>
    <row r="9" customFormat="false" ht="15" hidden="false" customHeight="true" outlineLevel="0" collapsed="false">
      <c r="A9" s="41" t="s">
        <v>298</v>
      </c>
      <c r="B9" s="87" t="n">
        <f aca="false">ABS('Unlevered FCF'!J$14-('Unlevered FCF'!J$10+'Unlevered FCF'!J$11-'Unlevered FCF'!J$12-'Unlevered FCF'!J$13))</f>
        <v>0</v>
      </c>
      <c r="C9" s="81" t="str">
        <f aca="false">IF(B9&lt;0.1,"OK","FAIL")</f>
        <v>OK</v>
      </c>
      <c r="D9" s="46" t="s">
        <v>299</v>
      </c>
      <c r="E9" s="51" t="s">
        <v>291</v>
      </c>
      <c r="F9" s="46" t="s">
        <v>292</v>
      </c>
    </row>
    <row r="10" customFormat="false" ht="15" hidden="false" customHeight="true" outlineLevel="0" collapsed="false">
      <c r="A10" s="41" t="s">
        <v>300</v>
      </c>
      <c r="B10" s="87" t="n">
        <f aca="false">MIN('Unlevered FCF'!E$16:J$16)</f>
        <v>0.573567522408038</v>
      </c>
      <c r="C10" s="81" t="str">
        <f aca="false">IF(B10&gt;0,"OK","FAIL")</f>
        <v>OK</v>
      </c>
      <c r="D10" s="46" t="s">
        <v>301</v>
      </c>
      <c r="E10" s="51" t="s">
        <v>291</v>
      </c>
      <c r="F10" s="46" t="s">
        <v>292</v>
      </c>
    </row>
    <row r="11" customFormat="false" ht="15" hidden="false" customHeight="true" outlineLevel="0" collapsed="false">
      <c r="A11" s="41" t="s">
        <v>302</v>
      </c>
      <c r="B11" s="69" t="n">
        <f aca="false">'Terminal Value'!B$12</f>
        <v>4438181.111489</v>
      </c>
      <c r="C11" s="81" t="str">
        <f aca="false">IF(B11&gt;0,"OK","FAIL")</f>
        <v>OK</v>
      </c>
      <c r="D11" s="46" t="s">
        <v>303</v>
      </c>
      <c r="E11" s="51" t="s">
        <v>291</v>
      </c>
      <c r="F11" s="46" t="s">
        <v>292</v>
      </c>
    </row>
    <row r="12" customFormat="false" ht="23.25" hidden="false" customHeight="true" outlineLevel="0" collapsed="false">
      <c r="A12" s="41" t="s">
        <v>304</v>
      </c>
      <c r="B12" s="87" t="n">
        <f aca="false">ABS('DCF Valuation'!B$6-('DCF Valuation'!B$4+'DCF Valuation'!B$5))</f>
        <v>0</v>
      </c>
      <c r="C12" s="81" t="str">
        <f aca="false">IF(B12&lt;0.1,"OK","FAIL")</f>
        <v>OK</v>
      </c>
      <c r="D12" s="46" t="s">
        <v>305</v>
      </c>
      <c r="E12" s="51" t="s">
        <v>291</v>
      </c>
      <c r="F12" s="46" t="s">
        <v>292</v>
      </c>
    </row>
    <row r="13" customFormat="false" ht="15" hidden="false" customHeight="true" outlineLevel="0" collapsed="false">
      <c r="A13" s="41" t="s">
        <v>306</v>
      </c>
      <c r="B13" s="87" t="n">
        <f aca="false">ABS('DCF Valuation'!B$16-('DCF Valuation'!B$6-'DCF Valuation'!B$11-'DCF Valuation'!B$12-'DCF Valuation'!B$13+'DCF Valuation'!B$14+'DCF Valuation'!B$15))</f>
        <v>0</v>
      </c>
      <c r="C13" s="81" t="str">
        <f aca="false">IF(B13&lt;0.1,"OK","FAIL")</f>
        <v>OK</v>
      </c>
      <c r="D13" s="46" t="s">
        <v>307</v>
      </c>
      <c r="E13" s="51" t="s">
        <v>291</v>
      </c>
      <c r="F13" s="46" t="s">
        <v>292</v>
      </c>
    </row>
    <row r="14" customFormat="false" ht="15" hidden="false" customHeight="true" outlineLevel="0" collapsed="false">
      <c r="A14" s="41" t="s">
        <v>308</v>
      </c>
      <c r="B14" s="87" t="n">
        <f aca="false">ABS('DCF Valuation'!B$18-'DCF Valuation'!B$16/'DCF Valuation'!B$17)</f>
        <v>0</v>
      </c>
      <c r="C14" s="81" t="str">
        <f aca="false">IF(B14&lt;0.01,"OK","FAIL")</f>
        <v>OK</v>
      </c>
      <c r="D14" s="46" t="s">
        <v>309</v>
      </c>
      <c r="E14" s="51" t="s">
        <v>291</v>
      </c>
      <c r="F14" s="46" t="s">
        <v>292</v>
      </c>
    </row>
    <row r="15" customFormat="false" ht="15" hidden="false" customHeight="true" outlineLevel="0" collapsed="false">
      <c r="A15" s="41" t="s">
        <v>310</v>
      </c>
      <c r="B15" s="87" t="str">
        <f aca="false">'Control Panel'!$B$10</f>
        <v>Base</v>
      </c>
      <c r="C15" s="81" t="str">
        <f aca="false">IF(OR(B15="Base",B15="Downside",B15="Upside"),"OK","FAIL")</f>
        <v>OK</v>
      </c>
      <c r="D15" s="46" t="s">
        <v>311</v>
      </c>
      <c r="E15" s="51" t="s">
        <v>291</v>
      </c>
      <c r="F15" s="46" t="s">
        <v>292</v>
      </c>
    </row>
    <row r="16" customFormat="false" ht="15" hidden="false" customHeight="true" outlineLevel="0" collapsed="false">
      <c r="A16" s="41" t="s">
        <v>165</v>
      </c>
      <c r="B16" s="87" t="str">
        <f aca="false">'Control Panel'!$B$79</f>
        <v>No external links</v>
      </c>
      <c r="C16" s="81" t="str">
        <f aca="false">IF(B16="No external links","OK","FAIL")</f>
        <v>OK</v>
      </c>
      <c r="D16" s="46" t="s">
        <v>312</v>
      </c>
      <c r="E16" s="51" t="s">
        <v>291</v>
      </c>
      <c r="F16" s="46" t="s">
        <v>292</v>
      </c>
    </row>
    <row r="17" customFormat="false" ht="15" hidden="false" customHeight="true" outlineLevel="0" collapsed="false">
      <c r="A17" s="41" t="s">
        <v>313</v>
      </c>
      <c r="B17" s="87" t="n">
        <f aca="false">Sensitivities!B5-Sensitivities!H5</f>
        <v>68.8967643750673</v>
      </c>
      <c r="C17" s="81" t="str">
        <f aca="false">IF(B17&gt;0,"OK","FAIL")</f>
        <v>OK</v>
      </c>
      <c r="D17" s="46" t="s">
        <v>314</v>
      </c>
      <c r="E17" s="51" t="s">
        <v>315</v>
      </c>
      <c r="F17" s="46" t="s">
        <v>292</v>
      </c>
    </row>
    <row r="18" customFormat="false" ht="23.25" hidden="false" customHeight="true" outlineLevel="0" collapsed="false">
      <c r="A18" s="41" t="s">
        <v>316</v>
      </c>
      <c r="B18" s="87" t="n">
        <f aca="false">Sensitivities!B9-Sensitivities!B5</f>
        <v>78.296207852611</v>
      </c>
      <c r="C18" s="81" t="str">
        <f aca="false">IF(B18&gt;0,"OK","FAIL")</f>
        <v>OK</v>
      </c>
      <c r="D18" s="46" t="s">
        <v>317</v>
      </c>
      <c r="E18" s="51" t="s">
        <v>315</v>
      </c>
      <c r="F18" s="46" t="s">
        <v>292</v>
      </c>
    </row>
    <row r="19" customFormat="false" ht="15" hidden="false" customHeight="true" outlineLevel="0" collapsed="false">
      <c r="A19" s="41" t="s">
        <v>318</v>
      </c>
      <c r="B19" s="88" t="n">
        <f aca="false">'Control Panel'!$B$86</f>
        <v>24391</v>
      </c>
      <c r="C19" s="81" t="str">
        <f aca="false">IF(B19&gt;0,"OK","FAIL")</f>
        <v>OK</v>
      </c>
      <c r="D19" s="46" t="s">
        <v>319</v>
      </c>
      <c r="E19" s="51" t="s">
        <v>291</v>
      </c>
      <c r="F19" s="46" t="s">
        <v>292</v>
      </c>
    </row>
    <row r="20" customFormat="false" ht="15" hidden="false" customHeight="true" outlineLevel="0" collapsed="false">
      <c r="A20" s="41" t="s">
        <v>320</v>
      </c>
      <c r="B20" s="89" t="n">
        <f aca="false">'Control Panel'!$B$78-'Control Panel'!$B$83</f>
        <v>0.076353</v>
      </c>
      <c r="C20" s="81" t="str">
        <f aca="false">IF(B20&gt;0,"OK","FAIL")</f>
        <v>OK</v>
      </c>
      <c r="D20" s="46" t="s">
        <v>321</v>
      </c>
      <c r="E20" s="51" t="s">
        <v>291</v>
      </c>
      <c r="F20" s="46" t="s">
        <v>292</v>
      </c>
    </row>
    <row r="21" customFormat="false" ht="23.25" hidden="false" customHeight="true" outlineLevel="0" collapsed="false">
      <c r="A21" s="41" t="s">
        <v>322</v>
      </c>
      <c r="B21" s="69" t="n">
        <f aca="false">'Control Panel'!$B$85</f>
        <v>-68224</v>
      </c>
      <c r="C21" s="81" t="str">
        <f aca="false">IF(B21&gt;=0,"OK","FAIL")</f>
        <v>FAIL</v>
      </c>
      <c r="D21" s="46" t="s">
        <v>323</v>
      </c>
      <c r="E21" s="51" t="s">
        <v>315</v>
      </c>
      <c r="F21" s="46" t="s">
        <v>292</v>
      </c>
    </row>
    <row r="22" customFormat="false" ht="15" hidden="false" customHeight="true" outlineLevel="0" collapsed="false">
      <c r="A22" s="41" t="s">
        <v>324</v>
      </c>
      <c r="B22" s="87" t="n">
        <f aca="false">COUNTA('Source Notes'!C6:C13)</f>
        <v>7</v>
      </c>
      <c r="C22" s="81" t="str">
        <f aca="false">IF(B22&gt;=5,"OK","FAIL")</f>
        <v>OK</v>
      </c>
      <c r="D22" s="46" t="s">
        <v>325</v>
      </c>
      <c r="E22" s="51" t="s">
        <v>291</v>
      </c>
      <c r="F22" s="46" t="s">
        <v>292</v>
      </c>
    </row>
  </sheetData>
  <mergeCells count="1">
    <mergeCell ref="A1:F1"/>
  </mergeCells>
  <conditionalFormatting sqref="C5:C25">
    <cfRule type="cellIs" priority="2" operator="equal" aboveAverage="0" equalAverage="0" bottom="0" percent="0" rank="0" text="" dxfId="8">
      <formula>"OK"</formula>
    </cfRule>
    <cfRule type="cellIs" priority="3" operator="equal" aboveAverage="0" equalAverage="0" bottom="0" percent="0" rank="0" text="" dxfId="9">
      <formula>"FAIL"</formula>
    </cfRule>
    <cfRule type="cellIs" priority="4" operator="equal" aboveAverage="0" equalAverage="0" bottom="0" percent="0" rank="0" text="" dxfId="10">
      <formula>"WARN"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8" width="26"/>
    <col collapsed="false" customWidth="true" hidden="false" outlineLevel="0" max="2" min="2" style="38" width="30"/>
    <col collapsed="false" customWidth="true" hidden="false" outlineLevel="0" max="4" min="3" style="38" width="20"/>
    <col collapsed="false" customWidth="true" hidden="false" outlineLevel="0" max="5" min="5" style="38" width="24"/>
    <col collapsed="false" customWidth="true" hidden="false" outlineLevel="0" max="6" min="6" style="38" width="44"/>
    <col collapsed="false" customWidth="true" hidden="false" outlineLevel="0" max="7" min="7" style="38" width="20"/>
    <col collapsed="false" customWidth="true" hidden="false" outlineLevel="0" max="8" min="8" style="38" width="18"/>
  </cols>
  <sheetData>
    <row r="1" customFormat="false" ht="24" hidden="false" customHeight="true" outlineLevel="0" collapsed="false">
      <c r="A1" s="39" t="s">
        <v>326</v>
      </c>
      <c r="B1" s="39"/>
      <c r="C1" s="39"/>
      <c r="D1" s="39"/>
      <c r="E1" s="39"/>
      <c r="F1" s="39"/>
      <c r="G1" s="39"/>
      <c r="H1" s="39"/>
    </row>
    <row r="4" customFormat="false" ht="15" hidden="false" customHeight="true" outlineLevel="0" collapsed="false">
      <c r="A4" s="56" t="s">
        <v>327</v>
      </c>
      <c r="B4" s="56" t="s">
        <v>328</v>
      </c>
      <c r="C4" s="56" t="s">
        <v>329</v>
      </c>
      <c r="D4" s="56" t="s">
        <v>330</v>
      </c>
      <c r="E4" s="56" t="s">
        <v>331</v>
      </c>
      <c r="F4" s="56" t="s">
        <v>332</v>
      </c>
      <c r="G4" s="56" t="s">
        <v>288</v>
      </c>
      <c r="H4" s="56" t="s">
        <v>286</v>
      </c>
    </row>
    <row r="5" customFormat="false" ht="68.25" hidden="false" customHeight="true" outlineLevel="0" collapsed="false">
      <c r="A5" s="43" t="s">
        <v>333</v>
      </c>
      <c r="B5" s="43" t="s">
        <v>334</v>
      </c>
      <c r="C5" s="43" t="s">
        <v>176</v>
      </c>
      <c r="D5" s="43" t="s">
        <v>335</v>
      </c>
      <c r="E5" s="43" t="s">
        <v>336</v>
      </c>
      <c r="F5" s="43" t="s">
        <v>337</v>
      </c>
      <c r="G5" s="43" t="s">
        <v>292</v>
      </c>
      <c r="H5" s="42" t="s">
        <v>338</v>
      </c>
    </row>
    <row r="6" customFormat="false" ht="34.5" hidden="false" customHeight="true" outlineLevel="0" collapsed="false">
      <c r="A6" s="43" t="s">
        <v>339</v>
      </c>
      <c r="B6" s="43" t="s">
        <v>340</v>
      </c>
      <c r="C6" s="43" t="s">
        <v>341</v>
      </c>
      <c r="D6" s="43" t="s">
        <v>6</v>
      </c>
      <c r="E6" s="43" t="s">
        <v>342</v>
      </c>
      <c r="F6" s="43" t="s">
        <v>343</v>
      </c>
      <c r="G6" s="43" t="s">
        <v>292</v>
      </c>
      <c r="H6" s="42" t="s">
        <v>344</v>
      </c>
    </row>
    <row r="7" customFormat="false" ht="79.5" hidden="false" customHeight="true" outlineLevel="0" collapsed="false">
      <c r="A7" s="43" t="s">
        <v>345</v>
      </c>
      <c r="B7" s="43" t="s">
        <v>346</v>
      </c>
      <c r="C7" s="43" t="s">
        <v>341</v>
      </c>
      <c r="D7" s="43" t="s">
        <v>6</v>
      </c>
      <c r="E7" s="43" t="s">
        <v>347</v>
      </c>
      <c r="F7" s="43" t="s">
        <v>348</v>
      </c>
      <c r="G7" s="43" t="s">
        <v>292</v>
      </c>
      <c r="H7" s="42" t="s">
        <v>344</v>
      </c>
    </row>
    <row r="8" customFormat="false" ht="23.25" hidden="false" customHeight="true" outlineLevel="0" collapsed="false">
      <c r="A8" s="43" t="s">
        <v>43</v>
      </c>
      <c r="B8" s="43" t="s">
        <v>349</v>
      </c>
      <c r="C8" s="43" t="s">
        <v>341</v>
      </c>
      <c r="D8" s="43" t="s">
        <v>6</v>
      </c>
      <c r="E8" s="43" t="s">
        <v>342</v>
      </c>
      <c r="F8" s="43" t="s">
        <v>350</v>
      </c>
      <c r="G8" s="43" t="s">
        <v>292</v>
      </c>
      <c r="H8" s="42" t="s">
        <v>344</v>
      </c>
    </row>
    <row r="9" customFormat="false" ht="23.25" hidden="false" customHeight="true" outlineLevel="0" collapsed="false">
      <c r="A9" s="43" t="s">
        <v>46</v>
      </c>
      <c r="B9" s="43" t="s">
        <v>351</v>
      </c>
      <c r="C9" s="43" t="s">
        <v>176</v>
      </c>
      <c r="D9" s="43" t="s">
        <v>335</v>
      </c>
      <c r="E9" s="43" t="s">
        <v>336</v>
      </c>
      <c r="F9" s="43" t="s">
        <v>352</v>
      </c>
      <c r="G9" s="43" t="s">
        <v>292</v>
      </c>
      <c r="H9" s="42" t="s">
        <v>338</v>
      </c>
    </row>
    <row r="10" customFormat="false" ht="45.75" hidden="false" customHeight="true" outlineLevel="0" collapsed="false">
      <c r="A10" s="43" t="s">
        <v>52</v>
      </c>
      <c r="B10" s="43" t="s">
        <v>351</v>
      </c>
      <c r="C10" s="43" t="s">
        <v>176</v>
      </c>
      <c r="D10" s="43" t="s">
        <v>335</v>
      </c>
      <c r="E10" s="43" t="s">
        <v>336</v>
      </c>
      <c r="F10" s="43" t="s">
        <v>353</v>
      </c>
      <c r="G10" s="43" t="s">
        <v>292</v>
      </c>
      <c r="H10" s="42" t="s">
        <v>338</v>
      </c>
    </row>
    <row r="11" customFormat="false" ht="34.5" hidden="false" customHeight="true" outlineLevel="0" collapsed="false">
      <c r="A11" s="43" t="s">
        <v>53</v>
      </c>
      <c r="B11" s="43" t="s">
        <v>354</v>
      </c>
      <c r="C11" s="43" t="s">
        <v>239</v>
      </c>
      <c r="D11" s="43" t="s">
        <v>6</v>
      </c>
      <c r="E11" s="43" t="s">
        <v>342</v>
      </c>
      <c r="F11" s="43" t="s">
        <v>355</v>
      </c>
      <c r="G11" s="43" t="s">
        <v>292</v>
      </c>
      <c r="H11" s="42" t="s">
        <v>344</v>
      </c>
    </row>
    <row r="12" customFormat="false" ht="23.25" hidden="false" customHeight="true" outlineLevel="0" collapsed="false">
      <c r="A12" s="43" t="s">
        <v>356</v>
      </c>
      <c r="B12" s="43" t="s">
        <v>357</v>
      </c>
      <c r="C12" s="43" t="s">
        <v>179</v>
      </c>
      <c r="D12" s="43" t="s">
        <v>6</v>
      </c>
      <c r="E12" s="43" t="s">
        <v>347</v>
      </c>
      <c r="F12" s="43" t="s">
        <v>358</v>
      </c>
      <c r="G12" s="43" t="s">
        <v>292</v>
      </c>
      <c r="H12" s="42" t="s">
        <v>344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2026-05-12T03:59:24Z</dcterms:created>
  <dc:creator>openpyxl</dc:creator>
  <dc:description/>
  <dc:language>en-US</dc:language>
  <cp:lastModifiedBy/>
  <dcterms:modified xsi:type="dcterms:W3CDTF">2026-08-04T21:45:46Z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